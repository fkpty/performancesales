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egria\Downloads\"/>
    </mc:Choice>
  </mc:AlternateContent>
  <xr:revisionPtr revIDLastSave="0" documentId="8_{DFC30905-A40F-4D96-8F3B-28C907342418}" xr6:coauthVersionLast="47" xr6:coauthVersionMax="47" xr10:uidLastSave="{00000000-0000-0000-0000-000000000000}"/>
  <bookViews>
    <workbookView xWindow="23880" yWindow="-120" windowWidth="24240" windowHeight="13020" xr2:uid="{5DEE972B-CDFA-4679-9D93-9558DA6CC483}"/>
  </bookViews>
  <sheets>
    <sheet name="Sales Productivity" sheetId="1" r:id="rId1"/>
    <sheet name="Presales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R4" i="1" s="1"/>
  <c r="I4" i="1"/>
  <c r="J4" i="1" s="1"/>
  <c r="M13" i="1"/>
  <c r="M12" i="1"/>
  <c r="M11" i="1"/>
  <c r="M10" i="1"/>
  <c r="M6" i="1"/>
  <c r="M5" i="1"/>
  <c r="M4" i="1"/>
  <c r="M14" i="1"/>
  <c r="M15" i="1" l="1"/>
  <c r="Q6" i="1" l="1"/>
  <c r="Q10" i="1"/>
  <c r="Q11" i="1"/>
  <c r="Q12" i="1"/>
  <c r="Q13" i="1"/>
  <c r="B22" i="1" l="1"/>
  <c r="F22" i="1"/>
  <c r="G22" i="1"/>
  <c r="H22" i="1"/>
  <c r="I22" i="1"/>
  <c r="M22" i="1"/>
  <c r="N22" i="1"/>
  <c r="Q22" i="1"/>
  <c r="R22" i="1" s="1"/>
  <c r="L22" i="1" l="1"/>
  <c r="P22" i="1" s="1"/>
  <c r="K22" i="1"/>
  <c r="O22" i="1" s="1"/>
  <c r="J22" i="1"/>
  <c r="Q5" i="1" l="1"/>
  <c r="I11" i="1"/>
  <c r="I12" i="1"/>
  <c r="I13" i="1"/>
  <c r="I10" i="1"/>
  <c r="J10" i="1" s="1"/>
  <c r="J13" i="1" l="1"/>
  <c r="J12" i="1"/>
  <c r="J11" i="1"/>
  <c r="B15" i="1"/>
  <c r="B8" i="1"/>
  <c r="Q15" i="1"/>
  <c r="Q8" i="1"/>
  <c r="N15" i="1" l="1"/>
  <c r="R15" i="1" s="1"/>
  <c r="J15" i="1"/>
  <c r="H15" i="1"/>
  <c r="M8" i="1"/>
  <c r="H8" i="1"/>
  <c r="G8" i="1"/>
  <c r="F8" i="1"/>
  <c r="L13" i="1"/>
  <c r="P13" i="1" s="1"/>
  <c r="K13" i="1"/>
  <c r="L12" i="1"/>
  <c r="P12" i="1" s="1"/>
  <c r="K12" i="1"/>
  <c r="L11" i="1"/>
  <c r="P11" i="1" s="1"/>
  <c r="K11" i="1"/>
  <c r="L10" i="1"/>
  <c r="K10" i="1"/>
  <c r="L10" i="3"/>
  <c r="I10" i="3"/>
  <c r="I9" i="3"/>
  <c r="L9" i="3"/>
  <c r="L8" i="3"/>
  <c r="M8" i="3" s="1"/>
  <c r="L6" i="3"/>
  <c r="L7" i="3"/>
  <c r="L5" i="3"/>
  <c r="L4" i="3"/>
  <c r="I8" i="3"/>
  <c r="I5" i="3"/>
  <c r="I4" i="3"/>
  <c r="G12" i="3"/>
  <c r="G10" i="3"/>
  <c r="G9" i="3"/>
  <c r="G8" i="3"/>
  <c r="G7" i="3"/>
  <c r="G6" i="3"/>
  <c r="K6" i="3" s="1"/>
  <c r="G5" i="3"/>
  <c r="G4" i="3"/>
  <c r="F12" i="3"/>
  <c r="L13" i="3"/>
  <c r="I12" i="3"/>
  <c r="J10" i="3"/>
  <c r="J9" i="3"/>
  <c r="J8" i="3"/>
  <c r="J6" i="3"/>
  <c r="M5" i="3"/>
  <c r="J5" i="3"/>
  <c r="J4" i="3"/>
  <c r="R5" i="1"/>
  <c r="R12" i="1"/>
  <c r="I5" i="1"/>
  <c r="J5" i="1" s="1"/>
  <c r="L5" i="1" s="1"/>
  <c r="P5" i="1" s="1"/>
  <c r="I6" i="1"/>
  <c r="J6" i="1" s="1"/>
  <c r="L6" i="1" s="1"/>
  <c r="P6" i="1" s="1"/>
  <c r="R6" i="1"/>
  <c r="R11" i="1"/>
  <c r="R13" i="1"/>
  <c r="R10" i="1"/>
  <c r="O13" i="1" l="1"/>
  <c r="M24" i="1"/>
  <c r="H24" i="1"/>
  <c r="K15" i="1"/>
  <c r="L15" i="1"/>
  <c r="P15" i="1" s="1"/>
  <c r="O11" i="1"/>
  <c r="O10" i="1"/>
  <c r="O12" i="1"/>
  <c r="I15" i="1"/>
  <c r="P10" i="1"/>
  <c r="K6" i="1"/>
  <c r="O6" i="1" s="1"/>
  <c r="K5" i="1"/>
  <c r="O5" i="1" s="1"/>
  <c r="K10" i="3"/>
  <c r="K8" i="3"/>
  <c r="M10" i="3"/>
  <c r="K9" i="3"/>
  <c r="M9" i="3"/>
  <c r="M6" i="3"/>
  <c r="K5" i="3"/>
  <c r="K4" i="3"/>
  <c r="M4" i="3"/>
  <c r="L12" i="3"/>
  <c r="O15" i="1" l="1"/>
  <c r="L4" i="1"/>
  <c r="P4" i="1" s="1"/>
  <c r="I8" i="1" l="1"/>
  <c r="N7" i="1"/>
  <c r="N8" i="1" s="1"/>
  <c r="K4" i="1"/>
  <c r="J8" i="1"/>
  <c r="J24" i="1" s="1"/>
  <c r="K8" i="1" l="1"/>
  <c r="O4" i="1"/>
  <c r="R8" i="1"/>
  <c r="N24" i="1"/>
  <c r="L8" i="1"/>
  <c r="L24" i="1" s="1"/>
  <c r="P8" i="1" l="1"/>
  <c r="P24" i="1"/>
  <c r="O8" i="1"/>
  <c r="K24" i="1"/>
  <c r="O24" i="1" s="1"/>
  <c r="G15" i="1"/>
  <c r="G24" i="1" s="1"/>
  <c r="F15" i="1"/>
  <c r="F24" i="1" s="1"/>
  <c r="J7" i="3" l="1"/>
  <c r="I7" i="3"/>
  <c r="K7" i="3" s="1"/>
  <c r="H12" i="3"/>
  <c r="M7" i="3" l="1"/>
  <c r="I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" authorId="0" shapeId="0" xr:uid="{3C1B8218-419E-46DC-B605-7346D0314D27}">
      <text>
        <r>
          <rPr>
            <sz val="11"/>
            <color rgb="FF000000"/>
            <rFont val="Calibri"/>
            <family val="2"/>
            <scheme val="minor"/>
          </rPr>
          <t>======
ID#AAAAh1Q81Jk
Sergio Molina    (2022-02-07 19:34:42)
Months in the territory</t>
        </r>
      </text>
    </comment>
  </commentList>
</comments>
</file>

<file path=xl/sharedStrings.xml><?xml version="1.0" encoding="utf-8"?>
<sst xmlns="http://schemas.openxmlformats.org/spreadsheetml/2006/main" count="83" uniqueCount="60">
  <si>
    <t>Sales Representative</t>
  </si>
  <si>
    <t>PBS Mo.</t>
  </si>
  <si>
    <t>12+</t>
  </si>
  <si>
    <t>Goverment</t>
  </si>
  <si>
    <t>LOB Health</t>
  </si>
  <si>
    <t>7+</t>
  </si>
  <si>
    <t>YTD MONTH #</t>
  </si>
  <si>
    <t>Sales Manager</t>
  </si>
  <si>
    <t>Market Segment</t>
  </si>
  <si>
    <t>Yearly  IT &amp; Other  Sales Target</t>
  </si>
  <si>
    <t>Totat Yearly Target</t>
  </si>
  <si>
    <t>SALARY FULLY LOADED</t>
  </si>
  <si>
    <t>EFECTIVE RATE</t>
  </si>
  <si>
    <t>TOTAL</t>
  </si>
  <si>
    <t>YTD Profit</t>
  </si>
  <si>
    <t>YTD rev</t>
  </si>
  <si>
    <t>YTD Plan % Profit</t>
  </si>
  <si>
    <t>YTD Plan % rev</t>
  </si>
  <si>
    <t>Totat Yearly Target GP</t>
  </si>
  <si>
    <t>Andre Fernandez</t>
  </si>
  <si>
    <t>Daniel hernandez</t>
  </si>
  <si>
    <t>Carlos Monterrey</t>
  </si>
  <si>
    <t>Anthony Araya</t>
  </si>
  <si>
    <t>Minor Herrera</t>
  </si>
  <si>
    <t>Alexander Chavarria</t>
  </si>
  <si>
    <t>Manuel Alvarado</t>
  </si>
  <si>
    <t>Fabian Quesada</t>
  </si>
  <si>
    <t>Oracle AS</t>
  </si>
  <si>
    <t>Oracle INFR</t>
  </si>
  <si>
    <t>CISCO</t>
  </si>
  <si>
    <t xml:space="preserve">Xerox - IT </t>
  </si>
  <si>
    <t>IT</t>
  </si>
  <si>
    <t>GC - NCR</t>
  </si>
  <si>
    <t>Other</t>
  </si>
  <si>
    <t>YTD Target Revenue</t>
  </si>
  <si>
    <t>EFIICENCY RATE</t>
  </si>
  <si>
    <t>YTD Target 
GP</t>
  </si>
  <si>
    <t>YTD 
Rev</t>
  </si>
  <si>
    <t>YTD 
Profit</t>
  </si>
  <si>
    <t xml:space="preserve">Yearly Printing Sales Target </t>
  </si>
  <si>
    <t>(US$000)</t>
  </si>
  <si>
    <t>Yearly Rental Present Value Target</t>
  </si>
  <si>
    <t>Key Market Segment</t>
  </si>
  <si>
    <t>2026</t>
  </si>
  <si>
    <t>Months In Sales</t>
  </si>
  <si>
    <t>Maria Isabel Alvarado</t>
  </si>
  <si>
    <t>Sandra Aviles</t>
  </si>
  <si>
    <t>Catherine Afre</t>
  </si>
  <si>
    <t>Alexandra Puyol</t>
  </si>
  <si>
    <t>Faustino Aparicio</t>
  </si>
  <si>
    <t>Enrique Aizpruea</t>
  </si>
  <si>
    <t>SMB/ Pyme</t>
  </si>
  <si>
    <t>Cristian Arosemena</t>
  </si>
  <si>
    <t>Educación</t>
  </si>
  <si>
    <t xml:space="preserve">María léon </t>
  </si>
  <si>
    <t>Insurance/health Sciences/</t>
  </si>
  <si>
    <t>Retail /construction</t>
  </si>
  <si>
    <t>Fernando Salazar</t>
  </si>
  <si>
    <t>Graphics Comm/Logistic</t>
  </si>
  <si>
    <t>Goverment /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</si>
</sst>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"/>
    <numFmt numFmtId="165" formatCode="&quot;$&quot;#,##0.00"/>
    <numFmt numFmtId="166" formatCode="_(* #,##0_);_(* \(#,##0\);_(* &quot;-&quot;??_);_(@_)"/>
    <numFmt numFmtId="167" formatCode="_-* #,##0.00_-;\-* #,##0.00_-;_-* &quot;-&quot;??_-;_-@"/>
    <numFmt numFmtId="168" formatCode="_(&quot;$&quot;* #,##0_);_(&quot;$&quot;* \(#,##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EF2CB"/>
        <bgColor rgb="FFFEF2CB"/>
      </patternFill>
    </fill>
    <fill>
      <patternFill patternType="solid">
        <fgColor theme="7" tint="0.79998168889431442"/>
        <bgColor rgb="FFF3F3F3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7" tint="0.79998168889431442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FFFFFF"/>
      </patternFill>
    </fill>
    <fill>
      <patternFill patternType="solid">
        <fgColor rgb="FF3366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63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/>
    <xf numFmtId="164" fontId="4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66" fontId="2" fillId="2" borderId="9" xfId="0" applyNumberFormat="1" applyFont="1" applyFill="1" applyBorder="1" applyAlignment="1">
      <alignment horizontal="center" vertical="center" wrapText="1"/>
    </xf>
    <xf numFmtId="9" fontId="2" fillId="2" borderId="10" xfId="0" applyNumberFormat="1" applyFont="1" applyFill="1" applyBorder="1" applyAlignment="1">
      <alignment horizontal="center" vertical="center" wrapText="1"/>
    </xf>
    <xf numFmtId="166" fontId="2" fillId="2" borderId="11" xfId="0" applyNumberFormat="1" applyFont="1" applyFill="1" applyBorder="1" applyAlignment="1">
      <alignment horizontal="center" vertical="center" wrapText="1"/>
    </xf>
    <xf numFmtId="164" fontId="2" fillId="2" borderId="1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166" fontId="4" fillId="6" borderId="13" xfId="0" applyNumberFormat="1" applyFont="1" applyFill="1" applyBorder="1" applyAlignment="1">
      <alignment horizontal="center"/>
    </xf>
    <xf numFmtId="166" fontId="6" fillId="6" borderId="15" xfId="0" applyNumberFormat="1" applyFont="1" applyFill="1" applyBorder="1" applyAlignment="1">
      <alignment horizontal="right"/>
    </xf>
    <xf numFmtId="9" fontId="3" fillId="0" borderId="16" xfId="0" applyNumberFormat="1" applyFont="1" applyBorder="1" applyAlignment="1">
      <alignment horizontal="center"/>
    </xf>
    <xf numFmtId="0" fontId="6" fillId="4" borderId="17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166" fontId="1" fillId="3" borderId="6" xfId="0" applyNumberFormat="1" applyFont="1" applyFill="1" applyBorder="1" applyAlignment="1">
      <alignment horizontal="center"/>
    </xf>
    <xf numFmtId="166" fontId="1" fillId="3" borderId="18" xfId="0" applyNumberFormat="1" applyFont="1" applyFill="1" applyBorder="1" applyAlignment="1">
      <alignment horizontal="center"/>
    </xf>
    <xf numFmtId="166" fontId="4" fillId="7" borderId="17" xfId="0" applyNumberFormat="1" applyFont="1" applyFill="1" applyBorder="1" applyAlignment="1">
      <alignment horizontal="center"/>
    </xf>
    <xf numFmtId="166" fontId="6" fillId="7" borderId="0" xfId="0" applyNumberFormat="1" applyFont="1" applyFill="1" applyAlignment="1">
      <alignment horizontal="right"/>
    </xf>
    <xf numFmtId="0" fontId="1" fillId="5" borderId="17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166" fontId="4" fillId="6" borderId="17" xfId="0" applyNumberFormat="1" applyFont="1" applyFill="1" applyBorder="1" applyAlignment="1">
      <alignment horizontal="center"/>
    </xf>
    <xf numFmtId="164" fontId="6" fillId="6" borderId="0" xfId="0" applyNumberFormat="1" applyFont="1" applyFill="1" applyAlignment="1">
      <alignment horizontal="right"/>
    </xf>
    <xf numFmtId="166" fontId="6" fillId="6" borderId="0" xfId="0" applyNumberFormat="1" applyFont="1" applyFill="1" applyAlignment="1">
      <alignment horizontal="right"/>
    </xf>
    <xf numFmtId="0" fontId="6" fillId="8" borderId="1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9" borderId="19" xfId="0" applyFont="1" applyFill="1" applyBorder="1" applyAlignment="1">
      <alignment horizontal="center" vertical="center" wrapText="1"/>
    </xf>
    <xf numFmtId="166" fontId="3" fillId="9" borderId="23" xfId="0" applyNumberFormat="1" applyFont="1" applyFill="1" applyBorder="1" applyAlignment="1">
      <alignment horizontal="right"/>
    </xf>
    <xf numFmtId="166" fontId="3" fillId="9" borderId="20" xfId="0" applyNumberFormat="1" applyFont="1" applyFill="1" applyBorder="1" applyAlignment="1">
      <alignment horizontal="right"/>
    </xf>
    <xf numFmtId="166" fontId="3" fillId="9" borderId="22" xfId="0" applyNumberFormat="1" applyFont="1" applyFill="1" applyBorder="1" applyAlignment="1">
      <alignment horizontal="right"/>
    </xf>
    <xf numFmtId="0" fontId="6" fillId="4" borderId="6" xfId="0" applyFont="1" applyFill="1" applyBorder="1" applyAlignment="1">
      <alignment horizontal="center" vertical="center" wrapText="1"/>
    </xf>
    <xf numFmtId="0" fontId="6" fillId="10" borderId="22" xfId="0" applyFont="1" applyFill="1" applyBorder="1" applyAlignment="1">
      <alignment horizontal="center" vertical="center"/>
    </xf>
    <xf numFmtId="0" fontId="6" fillId="11" borderId="22" xfId="0" applyFont="1" applyFill="1" applyBorder="1" applyAlignment="1">
      <alignment horizontal="center"/>
    </xf>
    <xf numFmtId="0" fontId="6" fillId="7" borderId="22" xfId="0" applyFont="1" applyFill="1" applyBorder="1" applyAlignment="1">
      <alignment horizontal="center"/>
    </xf>
    <xf numFmtId="9" fontId="3" fillId="9" borderId="24" xfId="0" applyNumberFormat="1" applyFont="1" applyFill="1" applyBorder="1" applyAlignment="1">
      <alignment horizontal="center"/>
    </xf>
    <xf numFmtId="166" fontId="3" fillId="9" borderId="25" xfId="0" applyNumberFormat="1" applyFont="1" applyFill="1" applyBorder="1" applyAlignment="1">
      <alignment horizontal="right"/>
    </xf>
    <xf numFmtId="0" fontId="6" fillId="6" borderId="0" xfId="0" applyFont="1" applyFill="1" applyAlignment="1">
      <alignment horizontal="center"/>
    </xf>
    <xf numFmtId="166" fontId="4" fillId="6" borderId="0" xfId="0" applyNumberFormat="1" applyFont="1" applyFill="1" applyAlignment="1">
      <alignment horizontal="center"/>
    </xf>
    <xf numFmtId="166" fontId="6" fillId="6" borderId="22" xfId="0" applyNumberFormat="1" applyFont="1" applyFill="1" applyBorder="1" applyAlignment="1">
      <alignment horizontal="right"/>
    </xf>
    <xf numFmtId="166" fontId="6" fillId="6" borderId="5" xfId="0" applyNumberFormat="1" applyFont="1" applyFill="1" applyBorder="1" applyAlignment="1">
      <alignment horizontal="right"/>
    </xf>
    <xf numFmtId="164" fontId="4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6" fontId="4" fillId="6" borderId="15" xfId="0" applyNumberFormat="1" applyFont="1" applyFill="1" applyBorder="1" applyAlignment="1">
      <alignment horizontal="center"/>
    </xf>
    <xf numFmtId="166" fontId="4" fillId="7" borderId="0" xfId="0" applyNumberFormat="1" applyFont="1" applyFill="1" applyAlignment="1">
      <alignment horizontal="center"/>
    </xf>
    <xf numFmtId="167" fontId="3" fillId="0" borderId="0" xfId="0" applyNumberFormat="1" applyFont="1" applyAlignment="1">
      <alignment horizontal="center"/>
    </xf>
    <xf numFmtId="168" fontId="0" fillId="0" borderId="0" xfId="0" applyNumberFormat="1"/>
    <xf numFmtId="166" fontId="6" fillId="6" borderId="14" xfId="0" applyNumberFormat="1" applyFont="1" applyFill="1" applyBorder="1" applyAlignment="1">
      <alignment horizontal="right"/>
    </xf>
    <xf numFmtId="166" fontId="6" fillId="6" borderId="6" xfId="0" applyNumberFormat="1" applyFont="1" applyFill="1" applyBorder="1" applyAlignment="1">
      <alignment horizontal="right"/>
    </xf>
    <xf numFmtId="166" fontId="6" fillId="6" borderId="26" xfId="0" applyNumberFormat="1" applyFont="1" applyFill="1" applyBorder="1" applyAlignment="1">
      <alignment horizontal="right"/>
    </xf>
    <xf numFmtId="166" fontId="0" fillId="0" borderId="0" xfId="0" applyNumberFormat="1"/>
    <xf numFmtId="166" fontId="4" fillId="5" borderId="17" xfId="0" applyNumberFormat="1" applyFont="1" applyFill="1" applyBorder="1" applyAlignment="1">
      <alignment horizontal="center"/>
    </xf>
    <xf numFmtId="166" fontId="4" fillId="4" borderId="17" xfId="0" applyNumberFormat="1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166" fontId="1" fillId="3" borderId="27" xfId="0" applyNumberFormat="1" applyFont="1" applyFill="1" applyBorder="1" applyAlignment="1">
      <alignment horizontal="center"/>
    </xf>
    <xf numFmtId="166" fontId="1" fillId="3" borderId="28" xfId="0" applyNumberFormat="1" applyFont="1" applyFill="1" applyBorder="1" applyAlignment="1">
      <alignment horizontal="center"/>
    </xf>
    <xf numFmtId="166" fontId="1" fillId="3" borderId="29" xfId="0" applyNumberFormat="1" applyFont="1" applyFill="1" applyBorder="1" applyAlignment="1">
      <alignment horizontal="center"/>
    </xf>
    <xf numFmtId="166" fontId="4" fillId="5" borderId="16" xfId="0" applyNumberFormat="1" applyFont="1" applyFill="1" applyBorder="1" applyAlignment="1">
      <alignment horizontal="center"/>
    </xf>
    <xf numFmtId="166" fontId="4" fillId="6" borderId="28" xfId="0" applyNumberFormat="1" applyFont="1" applyFill="1" applyBorder="1" applyAlignment="1">
      <alignment horizontal="center"/>
    </xf>
    <xf numFmtId="167" fontId="3" fillId="0" borderId="29" xfId="0" applyNumberFormat="1" applyFont="1" applyBorder="1" applyAlignment="1">
      <alignment horizontal="center"/>
    </xf>
    <xf numFmtId="166" fontId="1" fillId="3" borderId="0" xfId="0" applyNumberFormat="1" applyFont="1" applyFill="1" applyAlignment="1">
      <alignment horizontal="center"/>
    </xf>
    <xf numFmtId="167" fontId="3" fillId="0" borderId="18" xfId="0" applyNumberFormat="1" applyFont="1" applyBorder="1" applyAlignment="1">
      <alignment horizontal="center"/>
    </xf>
    <xf numFmtId="166" fontId="3" fillId="9" borderId="24" xfId="0" applyNumberFormat="1" applyFont="1" applyFill="1" applyBorder="1" applyAlignment="1">
      <alignment horizontal="right"/>
    </xf>
    <xf numFmtId="166" fontId="3" fillId="9" borderId="26" xfId="0" applyNumberFormat="1" applyFont="1" applyFill="1" applyBorder="1" applyAlignment="1">
      <alignment horizontal="right"/>
    </xf>
    <xf numFmtId="166" fontId="3" fillId="9" borderId="30" xfId="0" applyNumberFormat="1" applyFont="1" applyFill="1" applyBorder="1" applyAlignment="1">
      <alignment horizontal="right"/>
    </xf>
    <xf numFmtId="166" fontId="3" fillId="9" borderId="31" xfId="0" applyNumberFormat="1" applyFont="1" applyFill="1" applyBorder="1" applyAlignment="1">
      <alignment horizontal="right"/>
    </xf>
    <xf numFmtId="0" fontId="6" fillId="4" borderId="16" xfId="0" applyFont="1" applyFill="1" applyBorder="1" applyAlignment="1">
      <alignment horizontal="center"/>
    </xf>
    <xf numFmtId="166" fontId="4" fillId="4" borderId="16" xfId="0" applyNumberFormat="1" applyFont="1" applyFill="1" applyBorder="1" applyAlignment="1">
      <alignment horizontal="center"/>
    </xf>
    <xf numFmtId="0" fontId="3" fillId="9" borderId="32" xfId="0" applyFont="1" applyFill="1" applyBorder="1" applyAlignment="1">
      <alignment horizontal="center"/>
    </xf>
    <xf numFmtId="166" fontId="3" fillId="9" borderId="33" xfId="0" applyNumberFormat="1" applyFont="1" applyFill="1" applyBorder="1" applyAlignment="1">
      <alignment horizontal="right"/>
    </xf>
    <xf numFmtId="166" fontId="3" fillId="9" borderId="34" xfId="0" applyNumberFormat="1" applyFont="1" applyFill="1" applyBorder="1" applyAlignment="1">
      <alignment horizontal="right"/>
    </xf>
    <xf numFmtId="166" fontId="3" fillId="9" borderId="32" xfId="0" applyNumberFormat="1" applyFont="1" applyFill="1" applyBorder="1" applyAlignment="1">
      <alignment horizontal="right"/>
    </xf>
    <xf numFmtId="9" fontId="1" fillId="0" borderId="0" xfId="1" applyFont="1"/>
    <xf numFmtId="9" fontId="3" fillId="0" borderId="16" xfId="1" applyFont="1" applyBorder="1" applyAlignment="1">
      <alignment horizontal="center"/>
    </xf>
    <xf numFmtId="9" fontId="3" fillId="0" borderId="17" xfId="1" applyFont="1" applyBorder="1" applyAlignment="1">
      <alignment horizontal="center"/>
    </xf>
    <xf numFmtId="9" fontId="3" fillId="0" borderId="22" xfId="1" applyFont="1" applyBorder="1" applyAlignment="1">
      <alignment horizontal="center"/>
    </xf>
    <xf numFmtId="9" fontId="3" fillId="0" borderId="0" xfId="1" applyFont="1" applyAlignment="1">
      <alignment horizontal="center"/>
    </xf>
    <xf numFmtId="9" fontId="4" fillId="0" borderId="0" xfId="1" applyFont="1" applyAlignment="1">
      <alignment horizontal="center"/>
    </xf>
    <xf numFmtId="9" fontId="0" fillId="0" borderId="0" xfId="1" applyFont="1"/>
    <xf numFmtId="166" fontId="6" fillId="12" borderId="29" xfId="0" applyNumberFormat="1" applyFont="1" applyFill="1" applyBorder="1" applyAlignment="1">
      <alignment horizontal="right"/>
    </xf>
    <xf numFmtId="166" fontId="6" fillId="12" borderId="18" xfId="0" applyNumberFormat="1" applyFont="1" applyFill="1" applyBorder="1" applyAlignment="1">
      <alignment horizontal="right"/>
    </xf>
    <xf numFmtId="166" fontId="6" fillId="11" borderId="18" xfId="0" applyNumberFormat="1" applyFont="1" applyFill="1" applyBorder="1" applyAlignment="1">
      <alignment horizontal="right"/>
    </xf>
    <xf numFmtId="166" fontId="6" fillId="12" borderId="27" xfId="0" applyNumberFormat="1" applyFont="1" applyFill="1" applyBorder="1" applyAlignment="1">
      <alignment horizontal="right"/>
    </xf>
    <xf numFmtId="166" fontId="6" fillId="12" borderId="6" xfId="0" applyNumberFormat="1" applyFont="1" applyFill="1" applyBorder="1" applyAlignment="1">
      <alignment horizontal="right"/>
    </xf>
    <xf numFmtId="49" fontId="10" fillId="13" borderId="23" xfId="2" applyNumberFormat="1" applyFont="1" applyFill="1" applyBorder="1" applyAlignment="1">
      <alignment horizontal="center" vertical="top" wrapText="1"/>
    </xf>
    <xf numFmtId="167" fontId="3" fillId="0" borderId="31" xfId="0" applyNumberFormat="1" applyFont="1" applyBorder="1" applyAlignment="1">
      <alignment horizontal="center"/>
    </xf>
    <xf numFmtId="49" fontId="10" fillId="13" borderId="27" xfId="2" applyNumberFormat="1" applyFont="1" applyFill="1" applyBorder="1" applyAlignment="1">
      <alignment horizontal="center" vertical="top" wrapText="1"/>
    </xf>
    <xf numFmtId="166" fontId="6" fillId="11" borderId="6" xfId="0" applyNumberFormat="1" applyFont="1" applyFill="1" applyBorder="1" applyAlignment="1">
      <alignment horizontal="right"/>
    </xf>
    <xf numFmtId="164" fontId="6" fillId="12" borderId="18" xfId="0" applyNumberFormat="1" applyFont="1" applyFill="1" applyBorder="1" applyAlignment="1">
      <alignment horizontal="right"/>
    </xf>
    <xf numFmtId="166" fontId="6" fillId="11" borderId="29" xfId="0" applyNumberFormat="1" applyFont="1" applyFill="1" applyBorder="1" applyAlignment="1">
      <alignment horizontal="right"/>
    </xf>
    <xf numFmtId="166" fontId="6" fillId="11" borderId="27" xfId="0" applyNumberFormat="1" applyFont="1" applyFill="1" applyBorder="1" applyAlignment="1">
      <alignment horizontal="right"/>
    </xf>
    <xf numFmtId="0" fontId="3" fillId="9" borderId="31" xfId="0" applyFont="1" applyFill="1" applyBorder="1" applyAlignment="1">
      <alignment horizontal="center"/>
    </xf>
    <xf numFmtId="0" fontId="3" fillId="9" borderId="24" xfId="0" applyFont="1" applyFill="1" applyBorder="1" applyAlignment="1">
      <alignment horizontal="center"/>
    </xf>
    <xf numFmtId="0" fontId="3" fillId="9" borderId="22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22" xfId="0" applyFont="1" applyBorder="1"/>
    <xf numFmtId="49" fontId="10" fillId="13" borderId="28" xfId="2" applyNumberFormat="1" applyFont="1" applyFill="1" applyBorder="1" applyAlignment="1">
      <alignment horizontal="center" vertical="top" wrapText="1"/>
    </xf>
    <xf numFmtId="9" fontId="3" fillId="0" borderId="29" xfId="1" applyFont="1" applyBorder="1" applyAlignment="1">
      <alignment horizontal="center"/>
    </xf>
    <xf numFmtId="9" fontId="3" fillId="0" borderId="18" xfId="1" applyFont="1" applyBorder="1" applyAlignment="1">
      <alignment horizontal="center"/>
    </xf>
    <xf numFmtId="9" fontId="3" fillId="0" borderId="21" xfId="1" applyFont="1" applyBorder="1" applyAlignment="1">
      <alignment horizontal="center"/>
    </xf>
    <xf numFmtId="49" fontId="10" fillId="13" borderId="16" xfId="2" applyNumberFormat="1" applyFont="1" applyFill="1" applyBorder="1" applyAlignment="1">
      <alignment horizontal="center" vertical="top" wrapText="1"/>
    </xf>
    <xf numFmtId="0" fontId="1" fillId="0" borderId="6" xfId="0" applyFont="1" applyBorder="1"/>
    <xf numFmtId="0" fontId="1" fillId="0" borderId="18" xfId="0" applyFont="1" applyBorder="1"/>
    <xf numFmtId="166" fontId="4" fillId="12" borderId="27" xfId="0" applyNumberFormat="1" applyFont="1" applyFill="1" applyBorder="1" applyAlignment="1">
      <alignment horizontal="center"/>
    </xf>
    <xf numFmtId="166" fontId="4" fillId="12" borderId="6" xfId="0" applyNumberFormat="1" applyFont="1" applyFill="1" applyBorder="1" applyAlignment="1">
      <alignment horizontal="center"/>
    </xf>
    <xf numFmtId="166" fontId="4" fillId="11" borderId="6" xfId="0" applyNumberFormat="1" applyFont="1" applyFill="1" applyBorder="1" applyAlignment="1">
      <alignment horizontal="center"/>
    </xf>
    <xf numFmtId="166" fontId="4" fillId="11" borderId="27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166" fontId="6" fillId="0" borderId="18" xfId="0" applyNumberFormat="1" applyFont="1" applyBorder="1" applyAlignment="1">
      <alignment horizontal="center"/>
    </xf>
    <xf numFmtId="166" fontId="3" fillId="9" borderId="19" xfId="0" applyNumberFormat="1" applyFont="1" applyFill="1" applyBorder="1" applyAlignment="1">
      <alignment horizontal="right"/>
    </xf>
    <xf numFmtId="166" fontId="3" fillId="9" borderId="35" xfId="0" applyNumberFormat="1" applyFont="1" applyFill="1" applyBorder="1" applyAlignment="1">
      <alignment horizontal="right"/>
    </xf>
    <xf numFmtId="49" fontId="10" fillId="13" borderId="23" xfId="2" applyNumberFormat="1" applyFont="1" applyFill="1" applyBorder="1" applyAlignment="1">
      <alignment horizontal="left" vertical="top" wrapText="1"/>
    </xf>
    <xf numFmtId="49" fontId="10" fillId="13" borderId="27" xfId="2" applyNumberFormat="1" applyFont="1" applyFill="1" applyBorder="1" applyAlignment="1">
      <alignment horizontal="left" vertical="top" wrapText="1"/>
    </xf>
    <xf numFmtId="0" fontId="6" fillId="5" borderId="16" xfId="0" applyFont="1" applyFill="1" applyBorder="1" applyAlignment="1">
      <alignment horizontal="left"/>
    </xf>
    <xf numFmtId="0" fontId="6" fillId="5" borderId="17" xfId="0" applyFont="1" applyFill="1" applyBorder="1" applyAlignment="1">
      <alignment horizontal="left"/>
    </xf>
    <xf numFmtId="0" fontId="1" fillId="5" borderId="17" xfId="0" applyFont="1" applyFill="1" applyBorder="1" applyAlignment="1">
      <alignment horizontal="left"/>
    </xf>
    <xf numFmtId="0" fontId="6" fillId="4" borderId="17" xfId="0" applyFont="1" applyFill="1" applyBorder="1" applyAlignment="1">
      <alignment horizontal="left"/>
    </xf>
    <xf numFmtId="0" fontId="3" fillId="9" borderId="30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3" fillId="9" borderId="32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9" fontId="3" fillId="0" borderId="27" xfId="1" applyFont="1" applyBorder="1" applyAlignment="1">
      <alignment horizontal="center"/>
    </xf>
    <xf numFmtId="9" fontId="3" fillId="0" borderId="6" xfId="1" applyFont="1" applyBorder="1" applyAlignment="1">
      <alignment horizontal="center"/>
    </xf>
    <xf numFmtId="166" fontId="6" fillId="11" borderId="16" xfId="0" applyNumberFormat="1" applyFont="1" applyFill="1" applyBorder="1" applyAlignment="1">
      <alignment horizontal="right"/>
    </xf>
    <xf numFmtId="166" fontId="6" fillId="11" borderId="17" xfId="0" applyNumberFormat="1" applyFont="1" applyFill="1" applyBorder="1" applyAlignment="1">
      <alignment horizontal="right"/>
    </xf>
    <xf numFmtId="0" fontId="3" fillId="9" borderId="20" xfId="0" applyFont="1" applyFill="1" applyBorder="1" applyAlignment="1">
      <alignment horizontal="left"/>
    </xf>
    <xf numFmtId="0" fontId="3" fillId="9" borderId="21" xfId="0" applyFont="1" applyFill="1" applyBorder="1" applyAlignment="1">
      <alignment horizontal="center"/>
    </xf>
    <xf numFmtId="0" fontId="3" fillId="9" borderId="22" xfId="0" applyFont="1" applyFill="1" applyBorder="1" applyAlignment="1">
      <alignment horizontal="center"/>
    </xf>
    <xf numFmtId="166" fontId="3" fillId="9" borderId="21" xfId="0" applyNumberFormat="1" applyFont="1" applyFill="1" applyBorder="1" applyAlignment="1">
      <alignment horizontal="right"/>
    </xf>
    <xf numFmtId="167" fontId="3" fillId="0" borderId="21" xfId="0" applyNumberFormat="1" applyFont="1" applyBorder="1" applyAlignment="1">
      <alignment horizontal="center"/>
    </xf>
    <xf numFmtId="0" fontId="1" fillId="15" borderId="0" xfId="0" applyFont="1" applyFill="1"/>
    <xf numFmtId="0" fontId="1" fillId="14" borderId="24" xfId="0" applyFont="1" applyFill="1" applyBorder="1"/>
    <xf numFmtId="0" fontId="1" fillId="0" borderId="26" xfId="0" applyFont="1" applyBorder="1"/>
    <xf numFmtId="0" fontId="6" fillId="5" borderId="17" xfId="0" applyFont="1" applyFill="1" applyBorder="1" applyAlignment="1">
      <alignment horizontal="center" wrapText="1"/>
    </xf>
    <xf numFmtId="0" fontId="6" fillId="4" borderId="17" xfId="0" applyFont="1" applyFill="1" applyBorder="1" applyAlignment="1">
      <alignment horizontal="center" wrapText="1"/>
    </xf>
    <xf numFmtId="166" fontId="6" fillId="12" borderId="22" xfId="0" applyNumberFormat="1" applyFont="1" applyFill="1" applyBorder="1" applyAlignment="1">
      <alignment horizontal="right"/>
    </xf>
    <xf numFmtId="166" fontId="6" fillId="11" borderId="22" xfId="0" applyNumberFormat="1" applyFont="1" applyFill="1" applyBorder="1" applyAlignment="1">
      <alignment horizontal="right"/>
    </xf>
    <xf numFmtId="0" fontId="6" fillId="3" borderId="27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166" fontId="4" fillId="5" borderId="29" xfId="0" applyNumberFormat="1" applyFont="1" applyFill="1" applyBorder="1" applyAlignment="1">
      <alignment horizontal="center"/>
    </xf>
    <xf numFmtId="166" fontId="4" fillId="4" borderId="18" xfId="0" applyNumberFormat="1" applyFont="1" applyFill="1" applyBorder="1" applyAlignment="1">
      <alignment horizontal="center"/>
    </xf>
  </cellXfs>
  <cellStyles count="3">
    <cellStyle name="Comma 11" xfId="2" xr:uid="{ABBFBADD-386B-4FC8-A2D5-3228A8A075A7}"/>
    <cellStyle name="Normal" xfId="0" builtinId="0"/>
    <cellStyle name="Porcentaje" xfId="1" builtinId="5"/>
  </cellStyles>
  <dxfs count="39">
    <dxf>
      <fill>
        <patternFill patternType="solid">
          <fgColor rgb="FFF4B083"/>
          <bgColor rgb="FFF4B083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70FE-E810-4DCA-8FBA-926FEAD895F8}">
  <dimension ref="A2:AC107"/>
  <sheetViews>
    <sheetView showGridLines="0" tabSelected="1" topLeftCell="B1" zoomScale="71" zoomScaleNormal="71" workbookViewId="0">
      <selection activeCell="W5" sqref="W5"/>
    </sheetView>
  </sheetViews>
  <sheetFormatPr baseColWidth="10" defaultColWidth="8.85546875" defaultRowHeight="15" x14ac:dyDescent="0.25"/>
  <cols>
    <col min="1" max="1" width="3" customWidth="1"/>
    <col min="2" max="2" width="25.42578125" customWidth="1"/>
    <col min="3" max="3" width="22.42578125" style="142" customWidth="1"/>
    <col min="4" max="4" width="17.5703125" customWidth="1"/>
    <col min="5" max="5" width="9" customWidth="1"/>
    <col min="6" max="6" width="15" customWidth="1"/>
    <col min="7" max="7" width="15.42578125" customWidth="1"/>
    <col min="8" max="8" width="12.85546875" customWidth="1"/>
    <col min="9" max="9" width="10.42578125" bestFit="1" customWidth="1"/>
    <col min="10" max="10" width="12.42578125" bestFit="1" customWidth="1"/>
    <col min="11" max="11" width="10.5703125" bestFit="1" customWidth="1"/>
    <col min="12" max="12" width="9.42578125" bestFit="1" customWidth="1"/>
    <col min="13" max="13" width="12.85546875" customWidth="1"/>
    <col min="14" max="14" width="8.85546875" bestFit="1" customWidth="1"/>
    <col min="15" max="15" width="12.42578125" style="99" customWidth="1"/>
    <col min="16" max="16" width="14.42578125" style="99" customWidth="1"/>
    <col min="17" max="17" width="12.140625" customWidth="1"/>
    <col min="18" max="18" width="14.28515625" bestFit="1" customWidth="1"/>
  </cols>
  <sheetData>
    <row r="2" spans="1:28" x14ac:dyDescent="0.25">
      <c r="A2" s="1"/>
      <c r="B2" s="105" t="s">
        <v>43</v>
      </c>
      <c r="C2" s="132" t="s">
        <v>6</v>
      </c>
      <c r="D2" s="116">
        <v>3</v>
      </c>
      <c r="E2" s="5"/>
      <c r="F2" s="115" t="s">
        <v>40</v>
      </c>
      <c r="G2" s="5"/>
      <c r="H2" s="5"/>
      <c r="I2" s="6"/>
      <c r="J2" s="6"/>
      <c r="K2" s="6"/>
      <c r="L2" s="6"/>
      <c r="M2" s="5"/>
      <c r="N2" s="5"/>
      <c r="O2" s="93"/>
      <c r="P2" s="93"/>
      <c r="Q2" s="6"/>
      <c r="R2" s="6"/>
      <c r="S2" s="5"/>
      <c r="T2" s="7"/>
      <c r="U2" s="8"/>
      <c r="V2" s="5"/>
      <c r="W2" s="5"/>
      <c r="X2" s="5"/>
      <c r="Y2" s="5"/>
      <c r="Z2" s="5"/>
      <c r="AA2" s="5"/>
      <c r="AB2" s="5"/>
    </row>
    <row r="3" spans="1:28" ht="63" customHeight="1" x14ac:dyDescent="0.25">
      <c r="A3" s="9"/>
      <c r="B3" s="105" t="s">
        <v>7</v>
      </c>
      <c r="C3" s="133" t="s">
        <v>0</v>
      </c>
      <c r="D3" s="107" t="s">
        <v>42</v>
      </c>
      <c r="E3" s="107" t="s">
        <v>44</v>
      </c>
      <c r="F3" s="107" t="s">
        <v>39</v>
      </c>
      <c r="G3" s="107" t="s">
        <v>9</v>
      </c>
      <c r="H3" s="107" t="s">
        <v>41</v>
      </c>
      <c r="I3" s="107" t="s">
        <v>10</v>
      </c>
      <c r="J3" s="107" t="s">
        <v>18</v>
      </c>
      <c r="K3" s="107" t="s">
        <v>34</v>
      </c>
      <c r="L3" s="107" t="s">
        <v>36</v>
      </c>
      <c r="M3" s="107" t="s">
        <v>37</v>
      </c>
      <c r="N3" s="121" t="s">
        <v>38</v>
      </c>
      <c r="O3" s="117" t="s">
        <v>17</v>
      </c>
      <c r="P3" s="107" t="s">
        <v>16</v>
      </c>
      <c r="Q3" s="107" t="s">
        <v>11</v>
      </c>
      <c r="R3" s="107" t="s">
        <v>35</v>
      </c>
      <c r="S3" s="18"/>
      <c r="T3" s="18"/>
      <c r="U3" s="18"/>
      <c r="V3" s="18"/>
      <c r="W3" s="18"/>
      <c r="X3" s="18"/>
      <c r="Y3" s="18"/>
    </row>
    <row r="4" spans="1:28" ht="15.75" customHeight="1" x14ac:dyDescent="0.25">
      <c r="A4" s="19"/>
      <c r="B4" s="72" t="s">
        <v>45</v>
      </c>
      <c r="C4" s="134" t="s">
        <v>46</v>
      </c>
      <c r="D4" s="73" t="s">
        <v>56</v>
      </c>
      <c r="E4" s="74" t="s">
        <v>2</v>
      </c>
      <c r="F4" s="75">
        <v>440</v>
      </c>
      <c r="G4" s="76">
        <v>400</v>
      </c>
      <c r="H4" s="77">
        <v>60</v>
      </c>
      <c r="I4" s="78">
        <f>SUM(F4:H4)</f>
        <v>900</v>
      </c>
      <c r="J4" s="78">
        <f>I4*0.2</f>
        <v>180</v>
      </c>
      <c r="K4" s="79">
        <f>I4/12*$D$2</f>
        <v>225</v>
      </c>
      <c r="L4" s="79">
        <f>J4/12*$D$2</f>
        <v>45</v>
      </c>
      <c r="M4" s="157">
        <f>+N4/0.24</f>
        <v>0</v>
      </c>
      <c r="N4" s="157"/>
      <c r="O4" s="118">
        <f>+M4/K4</f>
        <v>0</v>
      </c>
      <c r="P4" s="143">
        <f>+N4/L4</f>
        <v>0</v>
      </c>
      <c r="Q4" s="145">
        <f>+(3)*1.38*D$2</f>
        <v>12.419999999999998</v>
      </c>
      <c r="R4" s="80">
        <f>+N4/Q4</f>
        <v>0</v>
      </c>
      <c r="S4" s="5"/>
      <c r="T4" s="5"/>
      <c r="U4" s="5"/>
      <c r="V4" s="5"/>
      <c r="W4" s="5"/>
      <c r="X4" s="5"/>
      <c r="Y4" s="5"/>
    </row>
    <row r="5" spans="1:28" ht="15.75" customHeight="1" x14ac:dyDescent="0.25">
      <c r="A5" s="19"/>
      <c r="B5" s="25"/>
      <c r="C5" s="135" t="s">
        <v>47</v>
      </c>
      <c r="D5" s="73" t="s">
        <v>59</v>
      </c>
      <c r="E5" s="27" t="s">
        <v>2</v>
      </c>
      <c r="F5" s="28">
        <v>100</v>
      </c>
      <c r="G5" s="81">
        <v>300</v>
      </c>
      <c r="H5" s="29">
        <v>500</v>
      </c>
      <c r="I5" s="70">
        <f>SUM(F5:H5)</f>
        <v>900</v>
      </c>
      <c r="J5" s="70">
        <f t="shared" ref="J5:J6" si="0">I5*0.2</f>
        <v>180</v>
      </c>
      <c r="K5" s="50">
        <f t="shared" ref="K5:K6" si="1">I5/12*$D$2</f>
        <v>225</v>
      </c>
      <c r="L5" s="50">
        <f t="shared" ref="L5:L6" si="2">J5/12*$D$2</f>
        <v>45</v>
      </c>
      <c r="M5" s="157">
        <f>+N5/0.24</f>
        <v>0</v>
      </c>
      <c r="N5" s="157"/>
      <c r="O5" s="119">
        <f>+M5/(K5/12*7)</f>
        <v>0</v>
      </c>
      <c r="P5" s="144">
        <f>+N5/(L5/12*7)</f>
        <v>0</v>
      </c>
      <c r="Q5" s="145">
        <f>+(2)*1.38*D$2</f>
        <v>8.2799999999999994</v>
      </c>
      <c r="R5" s="82">
        <f t="shared" ref="R5:R8" si="3">+N5/Q5</f>
        <v>0</v>
      </c>
      <c r="S5" s="5"/>
      <c r="T5" s="5"/>
      <c r="U5" s="5"/>
      <c r="V5" s="5"/>
      <c r="W5" s="5"/>
      <c r="X5" s="5"/>
      <c r="Y5" s="5"/>
    </row>
    <row r="6" spans="1:28" ht="15.75" customHeight="1" x14ac:dyDescent="0.25">
      <c r="A6" s="19"/>
      <c r="B6" s="25"/>
      <c r="C6" s="136" t="s">
        <v>48</v>
      </c>
      <c r="D6" s="73" t="s">
        <v>3</v>
      </c>
      <c r="E6" s="27" t="s">
        <v>2</v>
      </c>
      <c r="F6" s="28">
        <v>100</v>
      </c>
      <c r="G6" s="81">
        <v>300</v>
      </c>
      <c r="H6" s="29">
        <v>500</v>
      </c>
      <c r="I6" s="71">
        <f>SUM(F6:H6)</f>
        <v>900</v>
      </c>
      <c r="J6" s="71">
        <f t="shared" si="0"/>
        <v>180</v>
      </c>
      <c r="K6" s="50">
        <f t="shared" si="1"/>
        <v>225</v>
      </c>
      <c r="L6" s="50">
        <f t="shared" si="2"/>
        <v>45</v>
      </c>
      <c r="M6" s="157">
        <f>+N6/0.24</f>
        <v>0</v>
      </c>
      <c r="N6" s="158"/>
      <c r="O6" s="119">
        <f t="shared" ref="O6:P6" si="4">+M6/K6</f>
        <v>0</v>
      </c>
      <c r="P6" s="144">
        <f t="shared" si="4"/>
        <v>0</v>
      </c>
      <c r="Q6" s="145">
        <f>+(1.4)*1.38*D$2</f>
        <v>5.7959999999999994</v>
      </c>
      <c r="R6" s="82">
        <f t="shared" si="3"/>
        <v>0</v>
      </c>
      <c r="S6" s="5"/>
      <c r="T6" s="5"/>
      <c r="U6" s="5"/>
      <c r="V6" s="5"/>
      <c r="W6" s="5"/>
      <c r="X6" s="5"/>
      <c r="Y6" s="5"/>
    </row>
    <row r="7" spans="1:28" ht="14.25" customHeight="1" x14ac:dyDescent="0.25">
      <c r="A7" s="19"/>
      <c r="B7" s="37"/>
      <c r="C7" s="135" t="s">
        <v>33</v>
      </c>
      <c r="D7" s="26"/>
      <c r="E7" s="27"/>
      <c r="F7" s="28"/>
      <c r="G7" s="81"/>
      <c r="H7" s="29"/>
      <c r="I7" s="71"/>
      <c r="J7" s="71"/>
      <c r="K7" s="50"/>
      <c r="L7" s="50"/>
      <c r="M7" s="158"/>
      <c r="N7" s="158">
        <f>I7/12*E7</f>
        <v>0</v>
      </c>
      <c r="O7" s="153"/>
      <c r="P7" s="153"/>
      <c r="Q7" s="154"/>
      <c r="R7" s="152"/>
      <c r="S7" s="5"/>
      <c r="T7" s="5"/>
      <c r="U7" s="5"/>
      <c r="V7" s="5"/>
      <c r="W7" s="5"/>
      <c r="X7" s="5"/>
      <c r="Y7" s="5"/>
    </row>
    <row r="8" spans="1:28" ht="18" customHeight="1" x14ac:dyDescent="0.25">
      <c r="A8" s="38"/>
      <c r="B8" s="114" t="str">
        <f>CONCATENATE("Total ",B4)</f>
        <v>Total Maria Isabel Alvarado</v>
      </c>
      <c r="C8" s="147"/>
      <c r="D8" s="148"/>
      <c r="E8" s="149"/>
      <c r="F8" s="40">
        <f t="shared" ref="F8:N8" si="5">SUM(F4:F7)</f>
        <v>640</v>
      </c>
      <c r="G8" s="41">
        <f t="shared" si="5"/>
        <v>1000</v>
      </c>
      <c r="H8" s="150">
        <f t="shared" si="5"/>
        <v>1060</v>
      </c>
      <c r="I8" s="42">
        <f t="shared" si="5"/>
        <v>2700</v>
      </c>
      <c r="J8" s="42">
        <f t="shared" si="5"/>
        <v>540</v>
      </c>
      <c r="K8" s="40">
        <f t="shared" si="5"/>
        <v>675</v>
      </c>
      <c r="L8" s="40">
        <f t="shared" si="5"/>
        <v>135</v>
      </c>
      <c r="M8" s="40">
        <f t="shared" si="5"/>
        <v>0</v>
      </c>
      <c r="N8" s="42">
        <f t="shared" si="5"/>
        <v>0</v>
      </c>
      <c r="O8" s="120">
        <f>+M8/K8</f>
        <v>0</v>
      </c>
      <c r="P8" s="96">
        <f>+N8/L8</f>
        <v>0</v>
      </c>
      <c r="Q8" s="41">
        <f>+(6)*1.47*D$2</f>
        <v>26.46</v>
      </c>
      <c r="R8" s="151">
        <f t="shared" si="3"/>
        <v>0</v>
      </c>
      <c r="S8" s="5"/>
      <c r="T8" s="5"/>
      <c r="U8" s="5"/>
      <c r="V8" s="5"/>
      <c r="W8" s="5"/>
      <c r="X8" s="5"/>
      <c r="Y8" s="5"/>
    </row>
    <row r="9" spans="1:28" ht="6" customHeight="1" x14ac:dyDescent="0.25">
      <c r="A9" s="5"/>
      <c r="B9" s="5"/>
      <c r="C9" s="1"/>
      <c r="D9" s="5"/>
      <c r="E9" s="5"/>
      <c r="F9" s="5"/>
      <c r="G9" s="5"/>
      <c r="H9" s="5"/>
      <c r="I9" s="5"/>
      <c r="J9" s="5"/>
      <c r="K9" s="5"/>
      <c r="L9" s="5"/>
      <c r="M9" s="122"/>
      <c r="N9" s="123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8" ht="14.25" customHeight="1" x14ac:dyDescent="0.25">
      <c r="A10" s="19"/>
      <c r="B10" s="72" t="s">
        <v>49</v>
      </c>
      <c r="C10" s="134" t="s">
        <v>50</v>
      </c>
      <c r="D10" s="73" t="s">
        <v>51</v>
      </c>
      <c r="E10" s="159" t="s">
        <v>2</v>
      </c>
      <c r="F10" s="81">
        <v>440</v>
      </c>
      <c r="G10" s="81">
        <v>400</v>
      </c>
      <c r="H10" s="81">
        <v>60</v>
      </c>
      <c r="I10" s="161">
        <f>+F10+G10+H10</f>
        <v>900</v>
      </c>
      <c r="J10" s="78">
        <f t="shared" ref="J10:J13" si="6">I10*0.2</f>
        <v>180</v>
      </c>
      <c r="K10" s="79">
        <f t="shared" ref="K10:K13" si="7">I10/12*$D$2</f>
        <v>225</v>
      </c>
      <c r="L10" s="79">
        <f t="shared" ref="L10:L13" si="8">J10/12*$D$2</f>
        <v>45</v>
      </c>
      <c r="M10" s="124">
        <f>+N10/0.24</f>
        <v>0</v>
      </c>
      <c r="N10" s="100"/>
      <c r="O10" s="118">
        <f t="shared" ref="O10:P13" si="9">+M10/K10</f>
        <v>0</v>
      </c>
      <c r="P10" s="94">
        <f t="shared" si="9"/>
        <v>0</v>
      </c>
      <c r="Q10" s="103">
        <f>+(1.7)*1.38*D$2</f>
        <v>7.0379999999999985</v>
      </c>
      <c r="R10" s="80">
        <f t="shared" ref="R10:R13" si="10">+N10/Q10</f>
        <v>0</v>
      </c>
      <c r="S10" s="5"/>
      <c r="T10" s="5"/>
      <c r="U10" s="5"/>
      <c r="V10" s="5"/>
      <c r="W10" s="5"/>
      <c r="X10" s="5"/>
      <c r="Y10" s="5"/>
    </row>
    <row r="11" spans="1:28" ht="14.25" customHeight="1" x14ac:dyDescent="0.25">
      <c r="A11" s="19"/>
      <c r="B11" s="37"/>
      <c r="C11" s="135" t="s">
        <v>52</v>
      </c>
      <c r="D11" s="33" t="s">
        <v>53</v>
      </c>
      <c r="E11" s="160">
        <v>5</v>
      </c>
      <c r="F11" s="81">
        <v>440</v>
      </c>
      <c r="G11" s="81">
        <v>400</v>
      </c>
      <c r="H11" s="81">
        <v>60</v>
      </c>
      <c r="I11" s="161">
        <f t="shared" ref="I11:I13" si="11">+F11+G11+H11</f>
        <v>900</v>
      </c>
      <c r="J11" s="70">
        <f t="shared" si="6"/>
        <v>180</v>
      </c>
      <c r="K11" s="50">
        <f t="shared" si="7"/>
        <v>225</v>
      </c>
      <c r="L11" s="50">
        <f t="shared" si="8"/>
        <v>45</v>
      </c>
      <c r="M11" s="125">
        <f>+N11/0.24</f>
        <v>0</v>
      </c>
      <c r="N11" s="101"/>
      <c r="O11" s="119">
        <f t="shared" si="9"/>
        <v>0</v>
      </c>
      <c r="P11" s="95">
        <f t="shared" si="9"/>
        <v>0</v>
      </c>
      <c r="Q11" s="104">
        <f>+(1.5)*1.38*D$2</f>
        <v>6.2099999999999991</v>
      </c>
      <c r="R11" s="82">
        <f>+N11/Q11</f>
        <v>0</v>
      </c>
      <c r="S11" s="5"/>
      <c r="T11" s="5"/>
      <c r="U11" s="5"/>
      <c r="V11" s="5"/>
      <c r="W11" s="5"/>
      <c r="X11" s="5"/>
      <c r="Y11" s="5"/>
    </row>
    <row r="12" spans="1:28" ht="27.95" customHeight="1" x14ac:dyDescent="0.25">
      <c r="A12" s="19"/>
      <c r="B12" s="25"/>
      <c r="C12" s="135" t="s">
        <v>54</v>
      </c>
      <c r="D12" s="155" t="s">
        <v>55</v>
      </c>
      <c r="E12" s="160" t="s">
        <v>2</v>
      </c>
      <c r="F12" s="81">
        <v>440</v>
      </c>
      <c r="G12" s="81">
        <v>400</v>
      </c>
      <c r="H12" s="81">
        <v>60</v>
      </c>
      <c r="I12" s="161">
        <f t="shared" si="11"/>
        <v>900</v>
      </c>
      <c r="J12" s="70">
        <f t="shared" si="6"/>
        <v>180</v>
      </c>
      <c r="K12" s="50">
        <f t="shared" si="7"/>
        <v>225</v>
      </c>
      <c r="L12" s="50">
        <f t="shared" si="8"/>
        <v>45</v>
      </c>
      <c r="M12" s="125">
        <f>+N12/0.24</f>
        <v>0</v>
      </c>
      <c r="N12" s="109"/>
      <c r="O12" s="119">
        <f t="shared" si="9"/>
        <v>0</v>
      </c>
      <c r="P12" s="95">
        <f t="shared" si="9"/>
        <v>0</v>
      </c>
      <c r="Q12" s="104">
        <f>+(1.7)*1.38*D$2</f>
        <v>7.0379999999999985</v>
      </c>
      <c r="R12" s="82">
        <f>+N12/Q12</f>
        <v>0</v>
      </c>
      <c r="S12" s="5"/>
      <c r="T12" s="5"/>
      <c r="U12" s="5"/>
      <c r="V12" s="5"/>
      <c r="W12" s="5"/>
      <c r="X12" s="5"/>
      <c r="Y12" s="5"/>
    </row>
    <row r="13" spans="1:28" ht="15.75" customHeight="1" x14ac:dyDescent="0.25">
      <c r="A13" s="19"/>
      <c r="B13" s="25"/>
      <c r="C13" s="135" t="s">
        <v>57</v>
      </c>
      <c r="D13" s="156" t="s">
        <v>58</v>
      </c>
      <c r="E13" s="160" t="s">
        <v>2</v>
      </c>
      <c r="F13" s="81">
        <v>440</v>
      </c>
      <c r="G13" s="81">
        <v>400</v>
      </c>
      <c r="H13" s="81">
        <v>60</v>
      </c>
      <c r="I13" s="161">
        <f t="shared" si="11"/>
        <v>900</v>
      </c>
      <c r="J13" s="71">
        <f t="shared" si="6"/>
        <v>180</v>
      </c>
      <c r="K13" s="50">
        <f t="shared" si="7"/>
        <v>225</v>
      </c>
      <c r="L13" s="50">
        <f t="shared" si="8"/>
        <v>45</v>
      </c>
      <c r="M13" s="126">
        <f>+N13/0.24</f>
        <v>0</v>
      </c>
      <c r="N13" s="102"/>
      <c r="O13" s="119">
        <f t="shared" si="9"/>
        <v>0</v>
      </c>
      <c r="P13" s="95">
        <f t="shared" si="9"/>
        <v>0</v>
      </c>
      <c r="Q13" s="104">
        <f>+(1.7)*1.38*D$2</f>
        <v>7.0379999999999985</v>
      </c>
      <c r="R13" s="82">
        <f t="shared" si="10"/>
        <v>0</v>
      </c>
      <c r="S13" s="5"/>
      <c r="T13" s="5"/>
      <c r="U13" s="5"/>
      <c r="V13" s="5"/>
      <c r="W13" s="5"/>
      <c r="X13" s="5"/>
      <c r="Y13" s="5"/>
    </row>
    <row r="14" spans="1:28" ht="14.25" customHeight="1" x14ac:dyDescent="0.25">
      <c r="A14" s="19"/>
      <c r="B14" s="37"/>
      <c r="C14" s="135" t="s">
        <v>33</v>
      </c>
      <c r="D14" s="26"/>
      <c r="E14" s="160"/>
      <c r="F14" s="81"/>
      <c r="G14" s="81"/>
      <c r="H14" s="81"/>
      <c r="I14" s="162"/>
      <c r="J14" s="71"/>
      <c r="K14" s="50"/>
      <c r="L14" s="50"/>
      <c r="M14" s="126">
        <f t="shared" ref="M14" si="12">+N14/0.21</f>
        <v>0</v>
      </c>
      <c r="N14" s="102">
        <v>0</v>
      </c>
      <c r="O14" s="153"/>
      <c r="P14" s="153"/>
      <c r="Q14" s="154"/>
      <c r="R14" s="152"/>
      <c r="S14" s="5"/>
      <c r="T14" s="5"/>
      <c r="U14" s="5"/>
      <c r="V14" s="5"/>
      <c r="W14" s="5"/>
      <c r="X14" s="5"/>
      <c r="Y14" s="5"/>
    </row>
    <row r="15" spans="1:28" ht="18" customHeight="1" x14ac:dyDescent="0.25">
      <c r="A15" s="38"/>
      <c r="B15" s="114" t="str">
        <f>CONCATENATE("Total ",B10)</f>
        <v>Total Faustino Aparicio</v>
      </c>
      <c r="C15" s="138"/>
      <c r="D15" s="112"/>
      <c r="E15" s="113"/>
      <c r="F15" s="84">
        <f t="shared" ref="F15:N15" si="13">SUM(F10:F14)</f>
        <v>1760</v>
      </c>
      <c r="G15" s="85">
        <f t="shared" si="13"/>
        <v>1600</v>
      </c>
      <c r="H15" s="86">
        <f t="shared" si="13"/>
        <v>240</v>
      </c>
      <c r="I15" s="83">
        <f t="shared" si="13"/>
        <v>3600</v>
      </c>
      <c r="J15" s="83">
        <f t="shared" si="13"/>
        <v>720</v>
      </c>
      <c r="K15" s="40">
        <f t="shared" si="13"/>
        <v>900</v>
      </c>
      <c r="L15" s="40">
        <f t="shared" si="13"/>
        <v>180</v>
      </c>
      <c r="M15" s="40">
        <f t="shared" si="13"/>
        <v>0</v>
      </c>
      <c r="N15" s="42">
        <f t="shared" si="13"/>
        <v>0</v>
      </c>
      <c r="O15" s="120">
        <f>+M15/K15</f>
        <v>0</v>
      </c>
      <c r="P15" s="96">
        <f>+N15/L15</f>
        <v>0</v>
      </c>
      <c r="Q15" s="41">
        <f>+(6)*1.47*D$2</f>
        <v>26.46</v>
      </c>
      <c r="R15" s="106">
        <f t="shared" ref="R15" si="14">+N15/Q15</f>
        <v>0</v>
      </c>
      <c r="S15" s="5"/>
      <c r="T15" s="5"/>
      <c r="U15" s="5"/>
      <c r="V15" s="5"/>
      <c r="W15" s="5"/>
      <c r="X15" s="5"/>
      <c r="Y15" s="5"/>
    </row>
    <row r="16" spans="1:28" ht="6" customHeight="1" x14ac:dyDescent="0.25">
      <c r="A16" s="5"/>
      <c r="B16" s="5"/>
      <c r="C16" s="1"/>
      <c r="D16" s="5"/>
      <c r="E16" s="5"/>
      <c r="F16" s="5"/>
      <c r="G16" s="5"/>
      <c r="H16" s="5"/>
      <c r="I16" s="5"/>
      <c r="J16" s="5"/>
      <c r="K16" s="5"/>
      <c r="L16" s="5"/>
      <c r="M16" s="122"/>
      <c r="N16" s="12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9" ht="14.25" customHeight="1" x14ac:dyDescent="0.25">
      <c r="A17" s="1"/>
      <c r="B17" s="72"/>
      <c r="C17" s="134"/>
      <c r="D17" s="87"/>
      <c r="E17" s="74"/>
      <c r="F17" s="75"/>
      <c r="G17" s="76"/>
      <c r="H17" s="77"/>
      <c r="I17" s="88"/>
      <c r="J17" s="88"/>
      <c r="K17" s="79"/>
      <c r="L17" s="79"/>
      <c r="M17" s="127"/>
      <c r="N17" s="110"/>
      <c r="O17" s="118"/>
      <c r="P17" s="94"/>
      <c r="Q17" s="111"/>
      <c r="R17" s="80"/>
      <c r="S17" s="5"/>
      <c r="T17" s="5"/>
      <c r="U17" s="5"/>
      <c r="V17" s="5"/>
      <c r="W17" s="5"/>
      <c r="X17" s="5"/>
      <c r="Y17" s="5"/>
    </row>
    <row r="18" spans="1:29" ht="14.25" customHeight="1" x14ac:dyDescent="0.25">
      <c r="A18" s="1"/>
      <c r="B18" s="43"/>
      <c r="C18" s="135"/>
      <c r="D18" s="26"/>
      <c r="E18" s="27"/>
      <c r="F18" s="28"/>
      <c r="G18" s="81"/>
      <c r="H18" s="29"/>
      <c r="I18" s="71"/>
      <c r="J18" s="71"/>
      <c r="K18" s="50"/>
      <c r="L18" s="50"/>
      <c r="M18" s="126"/>
      <c r="N18" s="102"/>
      <c r="O18" s="119"/>
      <c r="P18" s="95"/>
      <c r="Q18" s="108"/>
      <c r="R18" s="82"/>
      <c r="S18" s="5"/>
      <c r="T18" s="5"/>
      <c r="U18" s="5"/>
      <c r="V18" s="5"/>
      <c r="W18" s="5"/>
      <c r="X18" s="5"/>
      <c r="Y18" s="5"/>
    </row>
    <row r="19" spans="1:29" ht="14.25" customHeight="1" x14ac:dyDescent="0.25">
      <c r="A19" s="19"/>
      <c r="B19" s="43"/>
      <c r="C19" s="135"/>
      <c r="D19" s="33"/>
      <c r="E19" s="27"/>
      <c r="F19" s="28"/>
      <c r="G19" s="81"/>
      <c r="H19" s="29"/>
      <c r="I19" s="70"/>
      <c r="J19" s="71"/>
      <c r="K19" s="50"/>
      <c r="L19" s="50"/>
      <c r="M19" s="126"/>
      <c r="N19" s="109"/>
      <c r="O19" s="119"/>
      <c r="P19" s="95"/>
      <c r="Q19" s="108"/>
      <c r="R19" s="82"/>
      <c r="S19" s="5"/>
      <c r="T19" s="5"/>
      <c r="U19" s="5"/>
      <c r="V19" s="5"/>
      <c r="W19" s="5"/>
      <c r="X19" s="5"/>
      <c r="Y19" s="5"/>
    </row>
    <row r="20" spans="1:29" ht="15.75" customHeight="1" x14ac:dyDescent="0.25">
      <c r="A20" s="19"/>
      <c r="B20" s="37"/>
      <c r="C20" s="137"/>
      <c r="D20" s="33"/>
      <c r="E20" s="27"/>
      <c r="F20" s="28"/>
      <c r="G20" s="81"/>
      <c r="H20" s="29"/>
      <c r="I20" s="70"/>
      <c r="J20" s="70"/>
      <c r="K20" s="50"/>
      <c r="L20" s="50"/>
      <c r="M20" s="104"/>
      <c r="N20" s="101"/>
      <c r="O20" s="119"/>
      <c r="P20" s="144"/>
      <c r="Q20" s="146"/>
      <c r="R20" s="82"/>
      <c r="S20" s="5"/>
      <c r="T20" s="5"/>
      <c r="U20" s="5"/>
      <c r="V20" s="5"/>
      <c r="W20" s="5"/>
      <c r="X20" s="5"/>
      <c r="Y20" s="5"/>
    </row>
    <row r="21" spans="1:29" ht="14.25" customHeight="1" x14ac:dyDescent="0.25">
      <c r="A21" s="19"/>
      <c r="B21" s="37"/>
      <c r="C21" s="135" t="s">
        <v>33</v>
      </c>
      <c r="D21" s="26"/>
      <c r="E21" s="27"/>
      <c r="F21" s="28"/>
      <c r="G21" s="81"/>
      <c r="H21" s="29"/>
      <c r="I21" s="71"/>
      <c r="J21" s="71"/>
      <c r="K21" s="50"/>
      <c r="L21" s="50"/>
      <c r="M21" s="108">
        <v>0</v>
      </c>
      <c r="N21" s="102">
        <v>0</v>
      </c>
      <c r="O21" s="153"/>
      <c r="P21" s="153"/>
      <c r="Q21" s="154"/>
      <c r="R21" s="152"/>
      <c r="S21" s="5"/>
      <c r="T21" s="5"/>
      <c r="U21" s="5"/>
      <c r="V21" s="5"/>
      <c r="W21" s="5"/>
      <c r="X21" s="5"/>
      <c r="Y21" s="5"/>
    </row>
    <row r="22" spans="1:29" ht="18" customHeight="1" x14ac:dyDescent="0.25">
      <c r="A22" s="38"/>
      <c r="B22" s="114" t="str">
        <f>CONCATENATE("Total ",B17)</f>
        <v xml:space="preserve">Total </v>
      </c>
      <c r="C22" s="138"/>
      <c r="D22" s="112"/>
      <c r="E22" s="113"/>
      <c r="F22" s="84">
        <f t="shared" ref="F22:N22" si="15">SUM(F17:F21)</f>
        <v>0</v>
      </c>
      <c r="G22" s="85">
        <f t="shared" si="15"/>
        <v>0</v>
      </c>
      <c r="H22" s="86">
        <f t="shared" si="15"/>
        <v>0</v>
      </c>
      <c r="I22" s="83">
        <f t="shared" si="15"/>
        <v>0</v>
      </c>
      <c r="J22" s="83">
        <f t="shared" si="15"/>
        <v>0</v>
      </c>
      <c r="K22" s="40">
        <f t="shared" si="15"/>
        <v>0</v>
      </c>
      <c r="L22" s="40">
        <f t="shared" si="15"/>
        <v>0</v>
      </c>
      <c r="M22" s="40">
        <f t="shared" si="15"/>
        <v>0</v>
      </c>
      <c r="N22" s="42">
        <f t="shared" si="15"/>
        <v>0</v>
      </c>
      <c r="O22" s="120" t="e">
        <f>+M22/K22</f>
        <v>#DIV/0!</v>
      </c>
      <c r="P22" s="96" t="e">
        <f>+N22/L22</f>
        <v>#DIV/0!</v>
      </c>
      <c r="Q22" s="41">
        <f>+(6)*1.47*D$2</f>
        <v>26.46</v>
      </c>
      <c r="R22" s="106">
        <f t="shared" ref="R22" si="16">+N22/Q22</f>
        <v>0</v>
      </c>
      <c r="S22" s="5"/>
      <c r="T22" s="5"/>
      <c r="U22" s="5"/>
      <c r="V22" s="5"/>
      <c r="W22" s="5"/>
      <c r="X22" s="5"/>
      <c r="Y22" s="5"/>
    </row>
    <row r="23" spans="1:29" ht="6" customHeight="1" x14ac:dyDescent="0.25">
      <c r="A23" s="19"/>
      <c r="B23" s="54"/>
      <c r="C23" s="139"/>
      <c r="D23" s="55"/>
      <c r="E23" s="55"/>
      <c r="F23" s="55"/>
      <c r="G23" s="55"/>
      <c r="H23" s="55"/>
      <c r="I23" s="56"/>
      <c r="J23" s="56"/>
      <c r="K23" s="56"/>
      <c r="L23" s="56"/>
      <c r="M23" s="128"/>
      <c r="N23" s="129"/>
      <c r="O23" s="97"/>
      <c r="P23" s="97"/>
      <c r="Q23" s="57"/>
      <c r="R23" s="59"/>
      <c r="S23" s="5"/>
      <c r="T23" s="5"/>
      <c r="U23" s="5"/>
      <c r="V23" s="5"/>
      <c r="W23" s="5"/>
      <c r="X23" s="5"/>
      <c r="Y23" s="5"/>
    </row>
    <row r="24" spans="1:29" ht="15.75" customHeight="1" x14ac:dyDescent="0.25">
      <c r="A24" s="38"/>
      <c r="B24" s="39" t="s">
        <v>13</v>
      </c>
      <c r="C24" s="140"/>
      <c r="D24" s="89"/>
      <c r="E24" s="89"/>
      <c r="F24" s="90">
        <f t="shared" ref="F24:N24" si="17">F8+F15+F22</f>
        <v>2400</v>
      </c>
      <c r="G24" s="41">
        <f t="shared" si="17"/>
        <v>2600</v>
      </c>
      <c r="H24" s="91">
        <f t="shared" si="17"/>
        <v>1300</v>
      </c>
      <c r="I24" s="92">
        <f t="shared" si="17"/>
        <v>6300</v>
      </c>
      <c r="J24" s="92">
        <f t="shared" si="17"/>
        <v>1260</v>
      </c>
      <c r="K24" s="92">
        <f t="shared" si="17"/>
        <v>1575</v>
      </c>
      <c r="L24" s="90">
        <f t="shared" si="17"/>
        <v>315</v>
      </c>
      <c r="M24" s="130">
        <f t="shared" si="17"/>
        <v>0</v>
      </c>
      <c r="N24" s="131">
        <f t="shared" si="17"/>
        <v>0</v>
      </c>
      <c r="O24" s="120">
        <f>+M24/K24</f>
        <v>0</v>
      </c>
      <c r="P24" s="96">
        <f>+N24/L24</f>
        <v>0</v>
      </c>
      <c r="Q24" s="38"/>
      <c r="R24" s="38"/>
      <c r="S24" s="5"/>
      <c r="T24" s="5"/>
      <c r="U24" s="5"/>
      <c r="V24" s="5"/>
      <c r="W24" s="5"/>
      <c r="X24" s="5"/>
      <c r="Y24" s="5"/>
    </row>
    <row r="25" spans="1:29" ht="4.5" customHeight="1" x14ac:dyDescent="0.25">
      <c r="A25" s="38"/>
      <c r="C25" s="141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98"/>
      <c r="P25" s="98"/>
      <c r="Q25" s="38"/>
      <c r="R25" s="38"/>
      <c r="S25" s="38"/>
      <c r="T25" s="38"/>
      <c r="U25" s="60"/>
      <c r="V25" s="61"/>
      <c r="W25" s="38"/>
      <c r="X25" s="38"/>
      <c r="Y25" s="38"/>
      <c r="Z25" s="38"/>
      <c r="AA25" s="38"/>
      <c r="AB25" s="38"/>
      <c r="AC25" s="38"/>
    </row>
    <row r="26" spans="1:29" x14ac:dyDescent="0.25">
      <c r="M26" s="65"/>
    </row>
    <row r="27" spans="1:29" x14ac:dyDescent="0.25">
      <c r="M27" s="65"/>
    </row>
    <row r="28" spans="1:29" x14ac:dyDescent="0.25">
      <c r="H28" s="69"/>
      <c r="I28" s="69"/>
      <c r="M28" s="65"/>
    </row>
    <row r="29" spans="1:29" x14ac:dyDescent="0.25">
      <c r="M29" s="65"/>
    </row>
    <row r="30" spans="1:29" x14ac:dyDescent="0.25">
      <c r="M30" s="65"/>
    </row>
    <row r="31" spans="1:29" x14ac:dyDescent="0.25">
      <c r="M31" s="65"/>
    </row>
    <row r="32" spans="1:29" x14ac:dyDescent="0.25">
      <c r="M32" s="65"/>
    </row>
    <row r="33" spans="13:13" x14ac:dyDescent="0.25">
      <c r="M33" s="65"/>
    </row>
    <row r="34" spans="13:13" x14ac:dyDescent="0.25">
      <c r="M34" s="65"/>
    </row>
    <row r="35" spans="13:13" x14ac:dyDescent="0.25">
      <c r="M35" s="65"/>
    </row>
    <row r="36" spans="13:13" x14ac:dyDescent="0.25">
      <c r="M36" s="65"/>
    </row>
    <row r="37" spans="13:13" x14ac:dyDescent="0.25">
      <c r="M37" s="65"/>
    </row>
    <row r="38" spans="13:13" x14ac:dyDescent="0.25">
      <c r="M38" s="65"/>
    </row>
    <row r="39" spans="13:13" x14ac:dyDescent="0.25">
      <c r="M39" s="65"/>
    </row>
    <row r="40" spans="13:13" x14ac:dyDescent="0.25">
      <c r="M40" s="65"/>
    </row>
    <row r="41" spans="13:13" x14ac:dyDescent="0.25">
      <c r="M41" s="65"/>
    </row>
    <row r="42" spans="13:13" x14ac:dyDescent="0.25">
      <c r="M42" s="65"/>
    </row>
    <row r="43" spans="13:13" x14ac:dyDescent="0.25">
      <c r="M43" s="65"/>
    </row>
    <row r="44" spans="13:13" x14ac:dyDescent="0.25">
      <c r="M44" s="65"/>
    </row>
    <row r="45" spans="13:13" x14ac:dyDescent="0.25">
      <c r="M45" s="65"/>
    </row>
    <row r="46" spans="13:13" x14ac:dyDescent="0.25">
      <c r="M46" s="65"/>
    </row>
    <row r="47" spans="13:13" x14ac:dyDescent="0.25">
      <c r="M47" s="65"/>
    </row>
    <row r="48" spans="13:13" x14ac:dyDescent="0.25">
      <c r="M48" s="65"/>
    </row>
    <row r="49" spans="13:13" x14ac:dyDescent="0.25">
      <c r="M49" s="65"/>
    </row>
    <row r="50" spans="13:13" x14ac:dyDescent="0.25">
      <c r="M50" s="65"/>
    </row>
    <row r="51" spans="13:13" x14ac:dyDescent="0.25">
      <c r="M51" s="65"/>
    </row>
    <row r="52" spans="13:13" x14ac:dyDescent="0.25">
      <c r="M52" s="65"/>
    </row>
    <row r="53" spans="13:13" x14ac:dyDescent="0.25">
      <c r="M53" s="65"/>
    </row>
    <row r="54" spans="13:13" x14ac:dyDescent="0.25">
      <c r="M54" s="65"/>
    </row>
    <row r="55" spans="13:13" x14ac:dyDescent="0.25">
      <c r="M55" s="65"/>
    </row>
    <row r="56" spans="13:13" x14ac:dyDescent="0.25">
      <c r="M56" s="65"/>
    </row>
    <row r="57" spans="13:13" x14ac:dyDescent="0.25">
      <c r="M57" s="65"/>
    </row>
    <row r="58" spans="13:13" x14ac:dyDescent="0.25">
      <c r="M58" s="65"/>
    </row>
    <row r="59" spans="13:13" x14ac:dyDescent="0.25">
      <c r="M59" s="65"/>
    </row>
    <row r="60" spans="13:13" x14ac:dyDescent="0.25">
      <c r="M60" s="65"/>
    </row>
    <row r="61" spans="13:13" x14ac:dyDescent="0.25">
      <c r="M61" s="65"/>
    </row>
    <row r="62" spans="13:13" x14ac:dyDescent="0.25">
      <c r="M62" s="65"/>
    </row>
    <row r="63" spans="13:13" x14ac:dyDescent="0.25">
      <c r="M63" s="65"/>
    </row>
    <row r="64" spans="13:13" x14ac:dyDescent="0.25">
      <c r="M64" s="65"/>
    </row>
    <row r="65" spans="13:13" x14ac:dyDescent="0.25">
      <c r="M65" s="65"/>
    </row>
    <row r="66" spans="13:13" x14ac:dyDescent="0.25">
      <c r="M66" s="65"/>
    </row>
    <row r="67" spans="13:13" x14ac:dyDescent="0.25">
      <c r="M67" s="65"/>
    </row>
    <row r="68" spans="13:13" x14ac:dyDescent="0.25">
      <c r="M68" s="65"/>
    </row>
    <row r="69" spans="13:13" x14ac:dyDescent="0.25">
      <c r="M69" s="65"/>
    </row>
    <row r="70" spans="13:13" x14ac:dyDescent="0.25">
      <c r="M70" s="65"/>
    </row>
    <row r="71" spans="13:13" x14ac:dyDescent="0.25">
      <c r="M71" s="65"/>
    </row>
    <row r="72" spans="13:13" x14ac:dyDescent="0.25">
      <c r="M72" s="65"/>
    </row>
    <row r="73" spans="13:13" x14ac:dyDescent="0.25">
      <c r="M73" s="65"/>
    </row>
    <row r="74" spans="13:13" x14ac:dyDescent="0.25">
      <c r="M74" s="65"/>
    </row>
    <row r="75" spans="13:13" x14ac:dyDescent="0.25">
      <c r="M75" s="65"/>
    </row>
    <row r="76" spans="13:13" x14ac:dyDescent="0.25">
      <c r="M76" s="65"/>
    </row>
    <row r="77" spans="13:13" x14ac:dyDescent="0.25">
      <c r="M77" s="65"/>
    </row>
    <row r="78" spans="13:13" x14ac:dyDescent="0.25">
      <c r="M78" s="65"/>
    </row>
    <row r="79" spans="13:13" x14ac:dyDescent="0.25">
      <c r="M79" s="65"/>
    </row>
    <row r="80" spans="13:13" x14ac:dyDescent="0.25">
      <c r="M80" s="65"/>
    </row>
    <row r="81" spans="13:13" x14ac:dyDescent="0.25">
      <c r="M81" s="65"/>
    </row>
    <row r="82" spans="13:13" x14ac:dyDescent="0.25">
      <c r="M82" s="65"/>
    </row>
    <row r="83" spans="13:13" x14ac:dyDescent="0.25">
      <c r="M83" s="65"/>
    </row>
    <row r="84" spans="13:13" x14ac:dyDescent="0.25">
      <c r="M84" s="65"/>
    </row>
    <row r="85" spans="13:13" x14ac:dyDescent="0.25">
      <c r="M85" s="65"/>
    </row>
    <row r="86" spans="13:13" x14ac:dyDescent="0.25">
      <c r="M86" s="65"/>
    </row>
    <row r="87" spans="13:13" x14ac:dyDescent="0.25">
      <c r="M87" s="65"/>
    </row>
    <row r="88" spans="13:13" x14ac:dyDescent="0.25">
      <c r="M88" s="65"/>
    </row>
    <row r="89" spans="13:13" x14ac:dyDescent="0.25">
      <c r="M89" s="65"/>
    </row>
    <row r="90" spans="13:13" x14ac:dyDescent="0.25">
      <c r="M90" s="65"/>
    </row>
    <row r="91" spans="13:13" x14ac:dyDescent="0.25">
      <c r="M91" s="65"/>
    </row>
    <row r="92" spans="13:13" x14ac:dyDescent="0.25">
      <c r="M92" s="65"/>
    </row>
    <row r="93" spans="13:13" x14ac:dyDescent="0.25">
      <c r="M93" s="65"/>
    </row>
    <row r="94" spans="13:13" x14ac:dyDescent="0.25">
      <c r="M94" s="65"/>
    </row>
    <row r="95" spans="13:13" x14ac:dyDescent="0.25">
      <c r="M95" s="65"/>
    </row>
    <row r="96" spans="13:13" x14ac:dyDescent="0.25">
      <c r="M96" s="65"/>
    </row>
    <row r="97" spans="13:13" x14ac:dyDescent="0.25">
      <c r="M97" s="65"/>
    </row>
    <row r="98" spans="13:13" x14ac:dyDescent="0.25">
      <c r="M98" s="65"/>
    </row>
    <row r="99" spans="13:13" x14ac:dyDescent="0.25">
      <c r="M99" s="65"/>
    </row>
    <row r="100" spans="13:13" x14ac:dyDescent="0.25">
      <c r="M100" s="65"/>
    </row>
    <row r="101" spans="13:13" x14ac:dyDescent="0.25">
      <c r="M101" s="65"/>
    </row>
    <row r="102" spans="13:13" x14ac:dyDescent="0.25">
      <c r="M102" s="65"/>
    </row>
    <row r="103" spans="13:13" x14ac:dyDescent="0.25">
      <c r="M103" s="65"/>
    </row>
    <row r="104" spans="13:13" x14ac:dyDescent="0.25">
      <c r="M104" s="65"/>
    </row>
    <row r="105" spans="13:13" x14ac:dyDescent="0.25">
      <c r="M105" s="65"/>
    </row>
    <row r="106" spans="13:13" x14ac:dyDescent="0.25">
      <c r="M106" s="65"/>
    </row>
    <row r="107" spans="13:13" x14ac:dyDescent="0.25">
      <c r="M107" s="65"/>
    </row>
  </sheetData>
  <phoneticPr fontId="9" type="noConversion"/>
  <conditionalFormatting sqref="O8:P8">
    <cfRule type="cellIs" dxfId="38" priority="112" operator="greaterThanOrEqual">
      <formula>0.85</formula>
    </cfRule>
    <cfRule type="cellIs" dxfId="37" priority="113" operator="between">
      <formula>0.5</formula>
      <formula>0.84</formula>
    </cfRule>
    <cfRule type="cellIs" dxfId="36" priority="114" operator="lessThan">
      <formula>0.5</formula>
    </cfRule>
  </conditionalFormatting>
  <conditionalFormatting sqref="O10:P13">
    <cfRule type="cellIs" dxfId="35" priority="19" operator="greaterThanOrEqual">
      <formula>0.85</formula>
    </cfRule>
    <cfRule type="cellIs" dxfId="34" priority="20" operator="between">
      <formula>0.5</formula>
      <formula>0.84</formula>
    </cfRule>
    <cfRule type="cellIs" dxfId="33" priority="21" operator="lessThan">
      <formula>0.5</formula>
    </cfRule>
  </conditionalFormatting>
  <conditionalFormatting sqref="O15:P15">
    <cfRule type="cellIs" dxfId="32" priority="75" operator="greaterThanOrEqual">
      <formula>0.85</formula>
    </cfRule>
    <cfRule type="cellIs" dxfId="31" priority="76" operator="between">
      <formula>0.5</formula>
      <formula>0.84</formula>
    </cfRule>
    <cfRule type="cellIs" dxfId="30" priority="77" operator="lessThan">
      <formula>0.5</formula>
    </cfRule>
  </conditionalFormatting>
  <conditionalFormatting sqref="O22:P22">
    <cfRule type="cellIs" dxfId="29" priority="58" operator="greaterThanOrEqual">
      <formula>0.85</formula>
    </cfRule>
    <cfRule type="cellIs" dxfId="28" priority="59" operator="between">
      <formula>0.5</formula>
      <formula>0.84</formula>
    </cfRule>
    <cfRule type="cellIs" dxfId="27" priority="60" operator="lessThan">
      <formula>0.5</formula>
    </cfRule>
  </conditionalFormatting>
  <conditionalFormatting sqref="O24:P24">
    <cfRule type="cellIs" dxfId="26" priority="106" operator="greaterThanOrEqual">
      <formula>0.85</formula>
    </cfRule>
    <cfRule type="cellIs" dxfId="25" priority="107" operator="between">
      <formula>0.5</formula>
      <formula>0.84</formula>
    </cfRule>
    <cfRule type="cellIs" dxfId="24" priority="108" operator="lessThan">
      <formula>0.5</formula>
    </cfRule>
  </conditionalFormatting>
  <conditionalFormatting sqref="R4:R6 O4:P6">
    <cfRule type="cellIs" dxfId="23" priority="137" operator="greaterThanOrEqual">
      <formula>0.85</formula>
    </cfRule>
    <cfRule type="cellIs" dxfId="22" priority="138" operator="between">
      <formula>0.5</formula>
      <formula>0.84</formula>
    </cfRule>
    <cfRule type="cellIs" dxfId="21" priority="139" operator="lessThan">
      <formula>0.5</formula>
    </cfRule>
  </conditionalFormatting>
  <conditionalFormatting sqref="R4:R6">
    <cfRule type="colorScale" priority="128">
      <colorScale>
        <cfvo type="num" val="4"/>
        <cfvo type="num" val="5"/>
        <cfvo type="num" val="7"/>
        <color rgb="FFF8696B"/>
        <color rgb="FFFFEB84"/>
        <color rgb="FF63BE7B"/>
      </colorScale>
    </cfRule>
    <cfRule type="colorScale" priority="132">
      <colorScale>
        <cfvo type="num" val="4.9000000000000004"/>
        <cfvo type="num" val="6"/>
        <cfvo type="num" val="8"/>
        <color rgb="FFF8696B"/>
        <color rgb="FFFFEB84"/>
        <color rgb="FF63BE7B"/>
      </colorScale>
    </cfRule>
    <cfRule type="colorScale" priority="135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136">
      <colorScale>
        <cfvo type="num" val="5"/>
        <cfvo type="num" val="5.0999999999999996"/>
        <cfvo type="num" val="7"/>
        <color rgb="FFF8696B"/>
        <color rgb="FFFFEB84"/>
        <color rgb="FF63BE7B"/>
      </colorScale>
    </cfRule>
  </conditionalFormatting>
  <conditionalFormatting sqref="R8">
    <cfRule type="colorScale" priority="99">
      <colorScale>
        <cfvo type="num" val="4"/>
        <cfvo type="num" val="5"/>
        <cfvo type="num" val="7"/>
        <color rgb="FFF8696B"/>
        <color rgb="FFFFEB84"/>
        <color rgb="FF63BE7B"/>
      </colorScale>
    </cfRule>
    <cfRule type="colorScale" priority="100">
      <colorScale>
        <cfvo type="num" val="4.9000000000000004"/>
        <cfvo type="num" val="6"/>
        <cfvo type="num" val="8"/>
        <color rgb="FFF8696B"/>
        <color rgb="FFFFEB84"/>
        <color rgb="FF63BE7B"/>
      </colorScale>
    </cfRule>
    <cfRule type="colorScale" priority="101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102">
      <colorScale>
        <cfvo type="num" val="5"/>
        <cfvo type="num" val="5.0999999999999996"/>
        <cfvo type="num" val="7"/>
        <color rgb="FFF8696B"/>
        <color rgb="FFFFEB84"/>
        <color rgb="FF63BE7B"/>
      </colorScale>
    </cfRule>
    <cfRule type="cellIs" dxfId="20" priority="103" operator="greaterThanOrEqual">
      <formula>0.85</formula>
    </cfRule>
    <cfRule type="cellIs" dxfId="19" priority="104" operator="between">
      <formula>0.5</formula>
      <formula>0.84</formula>
    </cfRule>
    <cfRule type="cellIs" dxfId="18" priority="105" operator="lessThan">
      <formula>0.5</formula>
    </cfRule>
  </conditionalFormatting>
  <conditionalFormatting sqref="R10:R13 R17:R19">
    <cfRule type="cellIs" dxfId="17" priority="230" operator="greaterThanOrEqual">
      <formula>0.85</formula>
    </cfRule>
    <cfRule type="cellIs" dxfId="16" priority="231" operator="between">
      <formula>0.5</formula>
      <formula>0.84</formula>
    </cfRule>
    <cfRule type="cellIs" dxfId="15" priority="232" operator="lessThan">
      <formula>0.5</formula>
    </cfRule>
  </conditionalFormatting>
  <conditionalFormatting sqref="R10:R13">
    <cfRule type="colorScale" priority="124">
      <colorScale>
        <cfvo type="num" val="4"/>
        <cfvo type="num" val="5"/>
        <cfvo type="num" val="7"/>
        <color rgb="FFF8696B"/>
        <color rgb="FFFFEB84"/>
        <color rgb="FF63BE7B"/>
      </colorScale>
    </cfRule>
    <cfRule type="colorScale" priority="125">
      <colorScale>
        <cfvo type="num" val="4.9000000000000004"/>
        <cfvo type="num" val="6"/>
        <cfvo type="num" val="8"/>
        <color rgb="FFF8696B"/>
        <color rgb="FFFFEB84"/>
        <color rgb="FF63BE7B"/>
      </colorScale>
    </cfRule>
    <cfRule type="colorScale" priority="126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127">
      <colorScale>
        <cfvo type="num" val="5"/>
        <cfvo type="num" val="5.0999999999999996"/>
        <cfvo type="num" val="7"/>
        <color rgb="FFF8696B"/>
        <color rgb="FFFFEB84"/>
        <color rgb="FF63BE7B"/>
      </colorScale>
    </cfRule>
    <cfRule type="colorScale" priority="129">
      <colorScale>
        <cfvo type="num" val="4.9000000000000004"/>
        <cfvo type="num" val="6"/>
        <cfvo type="num" val="8"/>
        <color rgb="FFF8696B"/>
        <color rgb="FFFFEB84"/>
        <color rgb="FF63BE7B"/>
      </colorScale>
    </cfRule>
    <cfRule type="colorScale" priority="130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131">
      <colorScale>
        <cfvo type="num" val="5"/>
        <cfvo type="num" val="5.0999999999999996"/>
        <cfvo type="num" val="7"/>
        <color rgb="FFF8696B"/>
        <color rgb="FFFFEB84"/>
        <color rgb="FF63BE7B"/>
      </colorScale>
    </cfRule>
    <cfRule type="colorScale" priority="133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134">
      <colorScale>
        <cfvo type="num" val="5"/>
        <cfvo type="num" val="5.0999999999999996"/>
        <cfvo type="num" val="7"/>
        <color rgb="FFF8696B"/>
        <color rgb="FFFFEB84"/>
        <color rgb="FF63BE7B"/>
      </colorScale>
    </cfRule>
  </conditionalFormatting>
  <conditionalFormatting sqref="R15">
    <cfRule type="colorScale" priority="68">
      <colorScale>
        <cfvo type="num" val="4"/>
        <cfvo type="num" val="5"/>
        <cfvo type="num" val="7"/>
        <color rgb="FFF8696B"/>
        <color rgb="FFFFEB84"/>
        <color rgb="FF63BE7B"/>
      </colorScale>
    </cfRule>
    <cfRule type="colorScale" priority="69">
      <colorScale>
        <cfvo type="num" val="4.9000000000000004"/>
        <cfvo type="num" val="6"/>
        <cfvo type="num" val="8"/>
        <color rgb="FFF8696B"/>
        <color rgb="FFFFEB84"/>
        <color rgb="FF63BE7B"/>
      </colorScale>
    </cfRule>
    <cfRule type="colorScale" priority="70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71">
      <colorScale>
        <cfvo type="num" val="5"/>
        <cfvo type="num" val="5.0999999999999996"/>
        <cfvo type="num" val="7"/>
        <color rgb="FFF8696B"/>
        <color rgb="FFFFEB84"/>
        <color rgb="FF63BE7B"/>
      </colorScale>
    </cfRule>
    <cfRule type="cellIs" dxfId="14" priority="72" operator="greaterThanOrEqual">
      <formula>0.85</formula>
    </cfRule>
    <cfRule type="cellIs" dxfId="13" priority="73" operator="between">
      <formula>0.5</formula>
      <formula>0.84</formula>
    </cfRule>
    <cfRule type="cellIs" dxfId="12" priority="74" operator="lessThan">
      <formula>0.5</formula>
    </cfRule>
  </conditionalFormatting>
  <conditionalFormatting sqref="R17:R19">
    <cfRule type="colorScale" priority="115">
      <colorScale>
        <cfvo type="num" val="4"/>
        <cfvo type="num" val="5"/>
        <cfvo type="num" val="7"/>
        <color rgb="FFF8696B"/>
        <color rgb="FFFFEB84"/>
        <color rgb="FF63BE7B"/>
      </colorScale>
    </cfRule>
    <cfRule type="colorScale" priority="116">
      <colorScale>
        <cfvo type="num" val="4.9000000000000004"/>
        <cfvo type="num" val="6"/>
        <cfvo type="num" val="8"/>
        <color rgb="FFF8696B"/>
        <color rgb="FFFFEB84"/>
        <color rgb="FF63BE7B"/>
      </colorScale>
    </cfRule>
    <cfRule type="colorScale" priority="117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118">
      <colorScale>
        <cfvo type="num" val="5"/>
        <cfvo type="num" val="5.0999999999999996"/>
        <cfvo type="num" val="7"/>
        <color rgb="FFF8696B"/>
        <color rgb="FFFFEB84"/>
        <color rgb="FF63BE7B"/>
      </colorScale>
    </cfRule>
    <cfRule type="colorScale" priority="119">
      <colorScale>
        <cfvo type="num" val="4.9000000000000004"/>
        <cfvo type="num" val="6"/>
        <cfvo type="num" val="8"/>
        <color rgb="FFF8696B"/>
        <color rgb="FFFFEB84"/>
        <color rgb="FF63BE7B"/>
      </colorScale>
    </cfRule>
    <cfRule type="colorScale" priority="120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121">
      <colorScale>
        <cfvo type="num" val="5"/>
        <cfvo type="num" val="5.0999999999999996"/>
        <cfvo type="num" val="7"/>
        <color rgb="FFF8696B"/>
        <color rgb="FFFFEB84"/>
        <color rgb="FF63BE7B"/>
      </colorScale>
    </cfRule>
    <cfRule type="colorScale" priority="122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123">
      <colorScale>
        <cfvo type="num" val="5"/>
        <cfvo type="num" val="5.0999999999999996"/>
        <cfvo type="num" val="7"/>
        <color rgb="FFF8696B"/>
        <color rgb="FFFFEB84"/>
        <color rgb="FF63BE7B"/>
      </colorScale>
    </cfRule>
  </conditionalFormatting>
  <conditionalFormatting sqref="R20 O17:P20">
    <cfRule type="cellIs" dxfId="11" priority="12" operator="greaterThanOrEqual">
      <formula>0.85</formula>
    </cfRule>
    <cfRule type="cellIs" dxfId="10" priority="13" operator="between">
      <formula>0.5</formula>
      <formula>0.84</formula>
    </cfRule>
    <cfRule type="cellIs" dxfId="9" priority="14" operator="lessThan">
      <formula>0.5</formula>
    </cfRule>
  </conditionalFormatting>
  <conditionalFormatting sqref="R20">
    <cfRule type="colorScale" priority="8">
      <colorScale>
        <cfvo type="num" val="4"/>
        <cfvo type="num" val="5"/>
        <cfvo type="num" val="7"/>
        <color rgb="FFF8696B"/>
        <color rgb="FFFFEB84"/>
        <color rgb="FF63BE7B"/>
      </colorScale>
    </cfRule>
    <cfRule type="colorScale" priority="9">
      <colorScale>
        <cfvo type="num" val="4.9000000000000004"/>
        <cfvo type="num" val="6"/>
        <cfvo type="num" val="8"/>
        <color rgb="FFF8696B"/>
        <color rgb="FFFFEB84"/>
        <color rgb="FF63BE7B"/>
      </colorScale>
    </cfRule>
    <cfRule type="colorScale" priority="10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11">
      <colorScale>
        <cfvo type="num" val="5"/>
        <cfvo type="num" val="5.0999999999999996"/>
        <cfvo type="num" val="7"/>
        <color rgb="FFF8696B"/>
        <color rgb="FFFFEB84"/>
        <color rgb="FF63BE7B"/>
      </colorScale>
    </cfRule>
  </conditionalFormatting>
  <conditionalFormatting sqref="R22">
    <cfRule type="colorScale" priority="51">
      <colorScale>
        <cfvo type="num" val="4"/>
        <cfvo type="num" val="5"/>
        <cfvo type="num" val="7"/>
        <color rgb="FFF8696B"/>
        <color rgb="FFFFEB84"/>
        <color rgb="FF63BE7B"/>
      </colorScale>
    </cfRule>
    <cfRule type="colorScale" priority="52">
      <colorScale>
        <cfvo type="num" val="4.9000000000000004"/>
        <cfvo type="num" val="6"/>
        <cfvo type="num" val="8"/>
        <color rgb="FFF8696B"/>
        <color rgb="FFFFEB84"/>
        <color rgb="FF63BE7B"/>
      </colorScale>
    </cfRule>
    <cfRule type="colorScale" priority="53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54">
      <colorScale>
        <cfvo type="num" val="5"/>
        <cfvo type="num" val="5.0999999999999996"/>
        <cfvo type="num" val="7"/>
        <color rgb="FFF8696B"/>
        <color rgb="FFFFEB84"/>
        <color rgb="FF63BE7B"/>
      </colorScale>
    </cfRule>
    <cfRule type="cellIs" dxfId="8" priority="55" operator="greaterThanOrEqual">
      <formula>0.85</formula>
    </cfRule>
    <cfRule type="cellIs" dxfId="7" priority="56" operator="between">
      <formula>0.5</formula>
      <formula>0.84</formula>
    </cfRule>
    <cfRule type="cellIs" dxfId="6" priority="57" operator="lessThan">
      <formula>0.5</formula>
    </cfRule>
  </conditionalFormatting>
  <pageMargins left="0.7" right="0.7" top="0.75" bottom="0.75" header="0.3" footer="0.3"/>
  <ignoredErrors>
    <ignoredError sqref="O5" formula="1"/>
    <ignoredError sqref="I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86A2-B3AD-41C7-A5E4-DCF17172DFF0}">
  <dimension ref="A2:W103"/>
  <sheetViews>
    <sheetView workbookViewId="0">
      <selection activeCell="B23" sqref="B23"/>
    </sheetView>
  </sheetViews>
  <sheetFormatPr baseColWidth="10" defaultColWidth="8.85546875" defaultRowHeight="15" x14ac:dyDescent="0.25"/>
  <cols>
    <col min="1" max="1" width="3" customWidth="1"/>
    <col min="2" max="2" width="29.42578125" customWidth="1"/>
    <col min="3" max="3" width="22.42578125" customWidth="1"/>
    <col min="4" max="4" width="21.5703125" customWidth="1"/>
    <col min="5" max="5" width="10.140625" customWidth="1"/>
    <col min="6" max="9" width="12.85546875" customWidth="1"/>
    <col min="10" max="10" width="12.42578125" customWidth="1"/>
    <col min="11" max="11" width="14.42578125" customWidth="1"/>
    <col min="13" max="13" width="9.85546875" customWidth="1"/>
  </cols>
  <sheetData>
    <row r="2" spans="1:23" ht="15.75" thickBot="1" x14ac:dyDescent="0.3">
      <c r="A2" s="1"/>
      <c r="B2" s="2">
        <v>2022</v>
      </c>
      <c r="C2" s="3" t="s">
        <v>6</v>
      </c>
      <c r="D2" s="4">
        <v>11</v>
      </c>
      <c r="E2" s="5"/>
      <c r="F2" s="6"/>
      <c r="G2" s="6"/>
      <c r="H2" s="5"/>
      <c r="I2" s="5"/>
      <c r="J2" s="5"/>
      <c r="K2" s="5"/>
      <c r="L2" s="6"/>
      <c r="M2" s="6"/>
      <c r="N2" s="5"/>
      <c r="O2" s="7"/>
      <c r="P2" s="8"/>
      <c r="Q2" s="5"/>
      <c r="R2" s="5"/>
      <c r="S2" s="5"/>
      <c r="T2" s="5"/>
      <c r="U2" s="5"/>
      <c r="V2" s="5"/>
      <c r="W2" s="5"/>
    </row>
    <row r="3" spans="1:23" ht="45.75" thickBot="1" x14ac:dyDescent="0.3">
      <c r="A3" s="9"/>
      <c r="B3" s="10" t="s">
        <v>7</v>
      </c>
      <c r="C3" s="11" t="s">
        <v>0</v>
      </c>
      <c r="D3" s="12" t="s">
        <v>8</v>
      </c>
      <c r="E3" s="13" t="s">
        <v>1</v>
      </c>
      <c r="F3" s="14" t="s">
        <v>10</v>
      </c>
      <c r="G3" s="14" t="s">
        <v>18</v>
      </c>
      <c r="H3" s="14" t="s">
        <v>15</v>
      </c>
      <c r="I3" s="14" t="s">
        <v>14</v>
      </c>
      <c r="J3" s="15" t="s">
        <v>17</v>
      </c>
      <c r="K3" s="15" t="s">
        <v>16</v>
      </c>
      <c r="L3" s="16" t="s">
        <v>11</v>
      </c>
      <c r="M3" s="17" t="s">
        <v>12</v>
      </c>
      <c r="N3" s="18"/>
      <c r="O3" s="18"/>
      <c r="P3" s="18"/>
      <c r="Q3" s="18"/>
      <c r="R3" s="18"/>
      <c r="S3" s="18"/>
      <c r="T3" s="18"/>
    </row>
    <row r="4" spans="1:23" ht="14.25" customHeight="1" x14ac:dyDescent="0.25">
      <c r="A4" s="19"/>
      <c r="B4" s="25" t="s">
        <v>24</v>
      </c>
      <c r="C4" s="20" t="s">
        <v>19</v>
      </c>
      <c r="D4" s="20" t="s">
        <v>27</v>
      </c>
      <c r="E4" s="21" t="s">
        <v>2</v>
      </c>
      <c r="F4" s="22">
        <v>5000</v>
      </c>
      <c r="G4" s="22">
        <f>+F4*0.15</f>
        <v>750</v>
      </c>
      <c r="H4" s="62">
        <v>6500</v>
      </c>
      <c r="I4" s="23">
        <f>+H4*0.135</f>
        <v>877.50000000000011</v>
      </c>
      <c r="J4" s="24">
        <f t="shared" ref="J4:K10" si="0">+H4/F4</f>
        <v>1.3</v>
      </c>
      <c r="K4" s="24">
        <f t="shared" si="0"/>
        <v>1.1700000000000002</v>
      </c>
      <c r="L4" s="66">
        <f>+(2200/600)*1.47*12</f>
        <v>64.679999999999993</v>
      </c>
      <c r="M4" s="64">
        <f t="shared" ref="M4:M10" si="1">+I4/L4</f>
        <v>13.566790352504642</v>
      </c>
      <c r="N4" s="5"/>
      <c r="O4" s="5"/>
      <c r="P4" s="5"/>
      <c r="Q4" s="5"/>
      <c r="R4" s="5"/>
      <c r="S4" s="5"/>
      <c r="T4" s="5"/>
    </row>
    <row r="5" spans="1:23" ht="14.25" customHeight="1" x14ac:dyDescent="0.25">
      <c r="A5" s="19"/>
      <c r="B5" s="37"/>
      <c r="C5" s="33" t="s">
        <v>20</v>
      </c>
      <c r="D5" s="33" t="s">
        <v>28</v>
      </c>
      <c r="E5" s="27" t="s">
        <v>2</v>
      </c>
      <c r="F5" s="34">
        <v>4000</v>
      </c>
      <c r="G5" s="34">
        <f>+F5*0.15</f>
        <v>600</v>
      </c>
      <c r="H5" s="50">
        <v>3850</v>
      </c>
      <c r="I5" s="36">
        <f>+H5*0.125</f>
        <v>481.25</v>
      </c>
      <c r="J5" s="24">
        <f>+H5/F5</f>
        <v>0.96250000000000002</v>
      </c>
      <c r="K5" s="24">
        <f>+I5/G5</f>
        <v>0.80208333333333337</v>
      </c>
      <c r="L5" s="67">
        <f>+(2200/600)*1.47*12</f>
        <v>64.679999999999993</v>
      </c>
      <c r="M5" s="64">
        <f>+I5/L5</f>
        <v>7.4404761904761916</v>
      </c>
      <c r="N5" s="5"/>
      <c r="O5" s="5"/>
      <c r="P5" s="5"/>
      <c r="Q5" s="5"/>
      <c r="R5" s="5"/>
      <c r="S5" s="5"/>
      <c r="T5" s="5"/>
    </row>
    <row r="6" spans="1:23" ht="15.75" customHeight="1" x14ac:dyDescent="0.25">
      <c r="A6" s="19"/>
      <c r="B6" s="25"/>
      <c r="C6" s="32" t="s">
        <v>25</v>
      </c>
      <c r="D6" s="33" t="s">
        <v>29</v>
      </c>
      <c r="E6" s="27" t="s">
        <v>5</v>
      </c>
      <c r="F6" s="34">
        <v>1500</v>
      </c>
      <c r="G6" s="34">
        <f>+F6*0.14</f>
        <v>210.00000000000003</v>
      </c>
      <c r="H6" s="50">
        <v>1240</v>
      </c>
      <c r="I6" s="35">
        <v>169</v>
      </c>
      <c r="J6" s="24">
        <f>+H6/F6</f>
        <v>0.82666666666666666</v>
      </c>
      <c r="K6" s="24">
        <f>+I6/G6</f>
        <v>0.80476190476190468</v>
      </c>
      <c r="L6" s="67">
        <f>+(1750/600)*1.47*7</f>
        <v>30.012499999999996</v>
      </c>
      <c r="M6" s="64">
        <f>+I6/L6</f>
        <v>5.6309870887130371</v>
      </c>
      <c r="N6" s="5"/>
      <c r="O6" s="5"/>
      <c r="P6" s="5"/>
      <c r="Q6" s="5"/>
      <c r="R6" s="5"/>
      <c r="S6" s="5"/>
      <c r="T6" s="5"/>
    </row>
    <row r="7" spans="1:23" ht="15.75" customHeight="1" x14ac:dyDescent="0.25">
      <c r="A7" s="19"/>
      <c r="B7" s="25"/>
      <c r="C7" s="26" t="s">
        <v>21</v>
      </c>
      <c r="D7" s="26" t="s">
        <v>30</v>
      </c>
      <c r="E7" s="27" t="s">
        <v>2</v>
      </c>
      <c r="F7" s="30">
        <v>2000</v>
      </c>
      <c r="G7" s="30">
        <f>+F7*0.2</f>
        <v>400</v>
      </c>
      <c r="H7" s="63">
        <v>1754</v>
      </c>
      <c r="I7" s="31">
        <f>+H7*0.16</f>
        <v>280.64</v>
      </c>
      <c r="J7" s="24">
        <f t="shared" si="0"/>
        <v>0.877</v>
      </c>
      <c r="K7" s="24">
        <f t="shared" si="0"/>
        <v>0.7016</v>
      </c>
      <c r="L7" s="67">
        <f>+(1500/600)*1.47*12</f>
        <v>44.099999999999994</v>
      </c>
      <c r="M7" s="64">
        <f t="shared" si="1"/>
        <v>6.3637188208616786</v>
      </c>
      <c r="N7" s="5"/>
      <c r="O7" s="5"/>
      <c r="P7" s="5"/>
      <c r="Q7" s="5"/>
      <c r="R7" s="5"/>
      <c r="S7" s="5"/>
      <c r="T7" s="5"/>
    </row>
    <row r="8" spans="1:23" ht="14.25" customHeight="1" x14ac:dyDescent="0.25">
      <c r="A8" s="19"/>
      <c r="B8" s="37"/>
      <c r="C8" s="33" t="s">
        <v>22</v>
      </c>
      <c r="D8" s="33" t="s">
        <v>31</v>
      </c>
      <c r="E8" s="27" t="s">
        <v>2</v>
      </c>
      <c r="F8" s="34">
        <v>1500</v>
      </c>
      <c r="G8" s="34">
        <f>+F8*0.12</f>
        <v>180</v>
      </c>
      <c r="H8" s="50">
        <v>1547</v>
      </c>
      <c r="I8" s="36">
        <f>+H8*0.11</f>
        <v>170.17</v>
      </c>
      <c r="J8" s="24">
        <f>+H8/F8</f>
        <v>1.0313333333333334</v>
      </c>
      <c r="K8" s="24">
        <f>+I8/G8</f>
        <v>0.94538888888888883</v>
      </c>
      <c r="L8" s="67">
        <f>+(1200/600)*1.47*12</f>
        <v>35.28</v>
      </c>
      <c r="M8" s="64">
        <f>+I8/L8</f>
        <v>4.8234126984126977</v>
      </c>
      <c r="N8" s="5"/>
      <c r="O8" s="5"/>
      <c r="P8" s="5"/>
      <c r="Q8" s="5"/>
      <c r="R8" s="5"/>
      <c r="S8" s="5"/>
      <c r="T8" s="5"/>
    </row>
    <row r="9" spans="1:23" ht="15.75" customHeight="1" x14ac:dyDescent="0.25">
      <c r="A9" s="19"/>
      <c r="B9" s="37"/>
      <c r="C9" s="26" t="s">
        <v>23</v>
      </c>
      <c r="D9" s="26" t="s">
        <v>32</v>
      </c>
      <c r="E9" s="27" t="s">
        <v>2</v>
      </c>
      <c r="F9" s="30">
        <v>2000</v>
      </c>
      <c r="G9" s="30">
        <f>+F9*0.15</f>
        <v>300</v>
      </c>
      <c r="H9" s="63">
        <v>2450</v>
      </c>
      <c r="I9" s="31">
        <f>+H9*0.11</f>
        <v>269.5</v>
      </c>
      <c r="J9" s="24">
        <f t="shared" si="0"/>
        <v>1.2250000000000001</v>
      </c>
      <c r="K9" s="24">
        <f t="shared" si="0"/>
        <v>0.89833333333333332</v>
      </c>
      <c r="L9" s="67">
        <f>+(1800/600)*1.47*12</f>
        <v>52.92</v>
      </c>
      <c r="M9" s="64">
        <f t="shared" si="1"/>
        <v>5.0925925925925926</v>
      </c>
      <c r="N9" s="5"/>
      <c r="O9" s="5"/>
      <c r="P9" s="5"/>
      <c r="Q9" s="5"/>
      <c r="R9" s="5"/>
      <c r="S9" s="5"/>
      <c r="T9" s="5"/>
    </row>
    <row r="10" spans="1:23" ht="14.25" customHeight="1" x14ac:dyDescent="0.25">
      <c r="A10" s="19"/>
      <c r="B10" s="37"/>
      <c r="C10" s="26" t="s">
        <v>26</v>
      </c>
      <c r="D10" s="26" t="s">
        <v>4</v>
      </c>
      <c r="E10" s="27" t="s">
        <v>2</v>
      </c>
      <c r="F10" s="30">
        <v>500</v>
      </c>
      <c r="G10" s="30">
        <f>+F10*0.25</f>
        <v>125</v>
      </c>
      <c r="H10" s="63">
        <v>550</v>
      </c>
      <c r="I10" s="31">
        <f>+H10*0.27</f>
        <v>148.5</v>
      </c>
      <c r="J10" s="24">
        <f t="shared" si="0"/>
        <v>1.1000000000000001</v>
      </c>
      <c r="K10" s="24">
        <f t="shared" si="0"/>
        <v>1.1879999999999999</v>
      </c>
      <c r="L10" s="68">
        <f>+(1200/600)*1.47*12</f>
        <v>35.28</v>
      </c>
      <c r="M10" s="64">
        <f t="shared" si="1"/>
        <v>4.2091836734693873</v>
      </c>
      <c r="N10" s="5"/>
      <c r="O10" s="5"/>
      <c r="P10" s="5"/>
      <c r="Q10" s="5"/>
      <c r="R10" s="5"/>
      <c r="S10" s="5"/>
      <c r="T10" s="5"/>
    </row>
    <row r="11" spans="1:23" ht="14.25" customHeight="1" x14ac:dyDescent="0.25">
      <c r="A11" s="1"/>
      <c r="B11" s="43"/>
      <c r="C11" s="26" t="s">
        <v>33</v>
      </c>
      <c r="D11" s="26"/>
      <c r="E11" s="27"/>
      <c r="F11" s="30"/>
      <c r="G11" s="30"/>
      <c r="H11" s="63">
        <v>4520</v>
      </c>
      <c r="I11" s="31"/>
      <c r="J11" s="24"/>
      <c r="K11" s="24"/>
      <c r="L11" s="31"/>
      <c r="M11" s="64"/>
      <c r="N11" s="5"/>
      <c r="O11" s="5"/>
      <c r="P11" s="5"/>
      <c r="Q11" s="5"/>
      <c r="R11" s="5"/>
      <c r="S11" s="5"/>
      <c r="T11" s="5"/>
    </row>
    <row r="12" spans="1:23" ht="15.75" customHeight="1" thickBot="1" x14ac:dyDescent="0.3">
      <c r="A12" s="38"/>
      <c r="B12" s="44"/>
      <c r="C12" s="45"/>
      <c r="D12" s="46"/>
      <c r="E12" s="42"/>
      <c r="F12" s="42">
        <f>SUM(F4:F11)</f>
        <v>16500</v>
      </c>
      <c r="G12" s="42">
        <f>SUM(G4:G11)</f>
        <v>2565</v>
      </c>
      <c r="H12" s="42">
        <f>SUM(H4:H11)</f>
        <v>22411</v>
      </c>
      <c r="I12" s="42">
        <f>SUM(I11:I11)</f>
        <v>0</v>
      </c>
      <c r="J12" s="47"/>
      <c r="K12" s="47"/>
      <c r="L12" s="48">
        <f>SUM(L11:L11)</f>
        <v>0</v>
      </c>
      <c r="M12" s="42">
        <v>0</v>
      </c>
      <c r="N12" s="5"/>
      <c r="O12" s="5"/>
      <c r="P12" s="5"/>
      <c r="Q12" s="5"/>
      <c r="R12" s="5"/>
      <c r="S12" s="5"/>
      <c r="T12" s="5"/>
    </row>
    <row r="13" spans="1:23" ht="15.75" customHeight="1" x14ac:dyDescent="0.25">
      <c r="A13" s="19"/>
      <c r="B13" s="49" t="s">
        <v>13</v>
      </c>
      <c r="C13" s="49"/>
      <c r="D13" s="49"/>
      <c r="E13" s="49"/>
      <c r="F13" s="50"/>
      <c r="G13" s="50"/>
      <c r="H13" s="50"/>
      <c r="I13" s="36"/>
      <c r="J13" s="51"/>
      <c r="K13" s="51"/>
      <c r="L13" s="52">
        <f>SUMIF($C$1:$C$1414,$C13,N$1:N$1414)</f>
        <v>0</v>
      </c>
      <c r="M13" s="53"/>
      <c r="N13" s="5"/>
      <c r="O13" s="5"/>
      <c r="P13" s="5"/>
      <c r="Q13" s="5"/>
      <c r="R13" s="5"/>
      <c r="S13" s="5"/>
      <c r="T13" s="5"/>
    </row>
    <row r="14" spans="1:23" ht="6" customHeight="1" x14ac:dyDescent="0.25">
      <c r="A14" s="19"/>
      <c r="B14" s="54"/>
      <c r="C14" s="55"/>
      <c r="D14" s="55"/>
      <c r="E14" s="55"/>
      <c r="F14" s="56"/>
      <c r="G14" s="56"/>
      <c r="H14" s="56"/>
      <c r="I14" s="57"/>
      <c r="J14" s="58"/>
      <c r="K14" s="58"/>
      <c r="L14" s="57"/>
      <c r="M14" s="59"/>
      <c r="N14" s="5"/>
      <c r="O14" s="5"/>
      <c r="P14" s="5"/>
      <c r="Q14" s="5"/>
      <c r="R14" s="5"/>
      <c r="S14" s="5"/>
      <c r="T14" s="5"/>
    </row>
    <row r="20" spans="8:8" x14ac:dyDescent="0.25">
      <c r="H20" s="65"/>
    </row>
    <row r="21" spans="8:8" x14ac:dyDescent="0.25">
      <c r="H21" s="65"/>
    </row>
    <row r="22" spans="8:8" x14ac:dyDescent="0.25">
      <c r="H22" s="65"/>
    </row>
    <row r="23" spans="8:8" x14ac:dyDescent="0.25">
      <c r="H23" s="65"/>
    </row>
    <row r="24" spans="8:8" x14ac:dyDescent="0.25">
      <c r="H24" s="65"/>
    </row>
    <row r="25" spans="8:8" x14ac:dyDescent="0.25">
      <c r="H25" s="65"/>
    </row>
    <row r="26" spans="8:8" x14ac:dyDescent="0.25">
      <c r="H26" s="65"/>
    </row>
    <row r="27" spans="8:8" x14ac:dyDescent="0.25">
      <c r="H27" s="65"/>
    </row>
    <row r="28" spans="8:8" x14ac:dyDescent="0.25">
      <c r="H28" s="65"/>
    </row>
    <row r="29" spans="8:8" x14ac:dyDescent="0.25">
      <c r="H29" s="65"/>
    </row>
    <row r="30" spans="8:8" x14ac:dyDescent="0.25">
      <c r="H30" s="65"/>
    </row>
    <row r="31" spans="8:8" x14ac:dyDescent="0.25">
      <c r="H31" s="65"/>
    </row>
    <row r="32" spans="8:8" x14ac:dyDescent="0.25">
      <c r="H32" s="65"/>
    </row>
    <row r="33" spans="8:8" x14ac:dyDescent="0.25">
      <c r="H33" s="65"/>
    </row>
    <row r="34" spans="8:8" x14ac:dyDescent="0.25">
      <c r="H34" s="65"/>
    </row>
    <row r="35" spans="8:8" x14ac:dyDescent="0.25">
      <c r="H35" s="65"/>
    </row>
    <row r="36" spans="8:8" x14ac:dyDescent="0.25">
      <c r="H36" s="65"/>
    </row>
    <row r="37" spans="8:8" x14ac:dyDescent="0.25">
      <c r="H37" s="65"/>
    </row>
    <row r="38" spans="8:8" x14ac:dyDescent="0.25">
      <c r="H38" s="65"/>
    </row>
    <row r="39" spans="8:8" x14ac:dyDescent="0.25">
      <c r="H39" s="65"/>
    </row>
    <row r="40" spans="8:8" x14ac:dyDescent="0.25">
      <c r="H40" s="65"/>
    </row>
    <row r="41" spans="8:8" x14ac:dyDescent="0.25">
      <c r="H41" s="65"/>
    </row>
    <row r="42" spans="8:8" x14ac:dyDescent="0.25">
      <c r="H42" s="65"/>
    </row>
    <row r="43" spans="8:8" x14ac:dyDescent="0.25">
      <c r="H43" s="65"/>
    </row>
    <row r="44" spans="8:8" x14ac:dyDescent="0.25">
      <c r="H44" s="65"/>
    </row>
    <row r="45" spans="8:8" x14ac:dyDescent="0.25">
      <c r="H45" s="65"/>
    </row>
    <row r="46" spans="8:8" x14ac:dyDescent="0.25">
      <c r="H46" s="65"/>
    </row>
    <row r="47" spans="8:8" x14ac:dyDescent="0.25">
      <c r="H47" s="65"/>
    </row>
    <row r="48" spans="8:8" x14ac:dyDescent="0.25">
      <c r="H48" s="65"/>
    </row>
    <row r="49" spans="8:8" x14ac:dyDescent="0.25">
      <c r="H49" s="65"/>
    </row>
    <row r="50" spans="8:8" x14ac:dyDescent="0.25">
      <c r="H50" s="65"/>
    </row>
    <row r="51" spans="8:8" x14ac:dyDescent="0.25">
      <c r="H51" s="65"/>
    </row>
    <row r="52" spans="8:8" x14ac:dyDescent="0.25">
      <c r="H52" s="65"/>
    </row>
    <row r="53" spans="8:8" x14ac:dyDescent="0.25">
      <c r="H53" s="65"/>
    </row>
    <row r="54" spans="8:8" x14ac:dyDescent="0.25">
      <c r="H54" s="65"/>
    </row>
    <row r="55" spans="8:8" x14ac:dyDescent="0.25">
      <c r="H55" s="65"/>
    </row>
    <row r="56" spans="8:8" x14ac:dyDescent="0.25">
      <c r="H56" s="65"/>
    </row>
    <row r="57" spans="8:8" x14ac:dyDescent="0.25">
      <c r="H57" s="65"/>
    </row>
    <row r="58" spans="8:8" x14ac:dyDescent="0.25">
      <c r="H58" s="65"/>
    </row>
    <row r="59" spans="8:8" x14ac:dyDescent="0.25">
      <c r="H59" s="65"/>
    </row>
    <row r="60" spans="8:8" x14ac:dyDescent="0.25">
      <c r="H60" s="65"/>
    </row>
    <row r="61" spans="8:8" x14ac:dyDescent="0.25">
      <c r="H61" s="65"/>
    </row>
    <row r="62" spans="8:8" x14ac:dyDescent="0.25">
      <c r="H62" s="65"/>
    </row>
    <row r="63" spans="8:8" x14ac:dyDescent="0.25">
      <c r="H63" s="65"/>
    </row>
    <row r="64" spans="8:8" x14ac:dyDescent="0.25">
      <c r="H64" s="65"/>
    </row>
    <row r="65" spans="8:8" x14ac:dyDescent="0.25">
      <c r="H65" s="65"/>
    </row>
    <row r="66" spans="8:8" x14ac:dyDescent="0.25">
      <c r="H66" s="65"/>
    </row>
    <row r="67" spans="8:8" x14ac:dyDescent="0.25">
      <c r="H67" s="65"/>
    </row>
    <row r="68" spans="8:8" x14ac:dyDescent="0.25">
      <c r="H68" s="65"/>
    </row>
    <row r="69" spans="8:8" x14ac:dyDescent="0.25">
      <c r="H69" s="65"/>
    </row>
    <row r="70" spans="8:8" x14ac:dyDescent="0.25">
      <c r="H70" s="65"/>
    </row>
    <row r="71" spans="8:8" x14ac:dyDescent="0.25">
      <c r="H71" s="65"/>
    </row>
    <row r="72" spans="8:8" x14ac:dyDescent="0.25">
      <c r="H72" s="65"/>
    </row>
    <row r="73" spans="8:8" x14ac:dyDescent="0.25">
      <c r="H73" s="65"/>
    </row>
    <row r="74" spans="8:8" x14ac:dyDescent="0.25">
      <c r="H74" s="65"/>
    </row>
    <row r="75" spans="8:8" x14ac:dyDescent="0.25">
      <c r="H75" s="65"/>
    </row>
    <row r="76" spans="8:8" x14ac:dyDescent="0.25">
      <c r="H76" s="65"/>
    </row>
    <row r="77" spans="8:8" x14ac:dyDescent="0.25">
      <c r="H77" s="65"/>
    </row>
    <row r="78" spans="8:8" x14ac:dyDescent="0.25">
      <c r="H78" s="65"/>
    </row>
    <row r="79" spans="8:8" x14ac:dyDescent="0.25">
      <c r="H79" s="65"/>
    </row>
    <row r="80" spans="8:8" x14ac:dyDescent="0.25">
      <c r="H80" s="65"/>
    </row>
    <row r="81" spans="8:8" x14ac:dyDescent="0.25">
      <c r="H81" s="65"/>
    </row>
    <row r="82" spans="8:8" x14ac:dyDescent="0.25">
      <c r="H82" s="65"/>
    </row>
    <row r="83" spans="8:8" x14ac:dyDescent="0.25">
      <c r="H83" s="65"/>
    </row>
    <row r="84" spans="8:8" x14ac:dyDescent="0.25">
      <c r="H84" s="65"/>
    </row>
    <row r="85" spans="8:8" x14ac:dyDescent="0.25">
      <c r="H85" s="65"/>
    </row>
    <row r="86" spans="8:8" x14ac:dyDescent="0.25">
      <c r="H86" s="65"/>
    </row>
    <row r="87" spans="8:8" x14ac:dyDescent="0.25">
      <c r="H87" s="65"/>
    </row>
    <row r="88" spans="8:8" x14ac:dyDescent="0.25">
      <c r="H88" s="65"/>
    </row>
    <row r="89" spans="8:8" x14ac:dyDescent="0.25">
      <c r="H89" s="65"/>
    </row>
    <row r="90" spans="8:8" x14ac:dyDescent="0.25">
      <c r="H90" s="65"/>
    </row>
    <row r="91" spans="8:8" x14ac:dyDescent="0.25">
      <c r="H91" s="65"/>
    </row>
    <row r="92" spans="8:8" x14ac:dyDescent="0.25">
      <c r="H92" s="65"/>
    </row>
    <row r="93" spans="8:8" x14ac:dyDescent="0.25">
      <c r="H93" s="65"/>
    </row>
    <row r="94" spans="8:8" x14ac:dyDescent="0.25">
      <c r="H94" s="65"/>
    </row>
    <row r="95" spans="8:8" x14ac:dyDescent="0.25">
      <c r="H95" s="65"/>
    </row>
    <row r="96" spans="8:8" x14ac:dyDescent="0.25">
      <c r="H96" s="65"/>
    </row>
    <row r="97" spans="8:8" x14ac:dyDescent="0.25">
      <c r="H97" s="65"/>
    </row>
    <row r="98" spans="8:8" x14ac:dyDescent="0.25">
      <c r="H98" s="65"/>
    </row>
    <row r="99" spans="8:8" x14ac:dyDescent="0.25">
      <c r="H99" s="65"/>
    </row>
    <row r="100" spans="8:8" x14ac:dyDescent="0.25">
      <c r="H100" s="65"/>
    </row>
    <row r="101" spans="8:8" x14ac:dyDescent="0.25">
      <c r="H101" s="65"/>
    </row>
    <row r="102" spans="8:8" x14ac:dyDescent="0.25">
      <c r="H102" s="65"/>
    </row>
    <row r="103" spans="8:8" x14ac:dyDescent="0.25">
      <c r="H103" s="65"/>
    </row>
  </sheetData>
  <conditionalFormatting sqref="J4:K12">
    <cfRule type="cellIs" dxfId="5" priority="32" operator="greaterThanOrEqual">
      <formula>0.85</formula>
    </cfRule>
    <cfRule type="cellIs" dxfId="4" priority="33" operator="between">
      <formula>0.5</formula>
      <formula>0.84</formula>
    </cfRule>
    <cfRule type="cellIs" dxfId="3" priority="34" operator="lessThan">
      <formula>0.5</formula>
    </cfRule>
  </conditionalFormatting>
  <conditionalFormatting sqref="M4:M10">
    <cfRule type="colorScale" priority="10">
      <colorScale>
        <cfvo type="num" val="4"/>
        <cfvo type="num" val="5"/>
        <cfvo type="num" val="7"/>
        <color rgb="FFF8696B"/>
        <color rgb="FFFFEB84"/>
        <color rgb="FF63BE7B"/>
      </colorScale>
    </cfRule>
    <cfRule type="colorScale" priority="11">
      <colorScale>
        <cfvo type="num" val="4.9000000000000004"/>
        <cfvo type="num" val="6"/>
        <cfvo type="num" val="8"/>
        <color rgb="FFF8696B"/>
        <color rgb="FFFFEB84"/>
        <color rgb="FF63BE7B"/>
      </colorScale>
    </cfRule>
    <cfRule type="colorScale" priority="12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13">
      <colorScale>
        <cfvo type="num" val="5"/>
        <cfvo type="num" val="5.0999999999999996"/>
        <cfvo type="num" val="7"/>
        <color rgb="FFF8696B"/>
        <color rgb="FFFFEB84"/>
        <color rgb="FF63BE7B"/>
      </colorScale>
    </cfRule>
    <cfRule type="colorScale" priority="15">
      <colorScale>
        <cfvo type="num" val="4.9000000000000004"/>
        <cfvo type="num" val="6"/>
        <cfvo type="num" val="8"/>
        <color rgb="FFF8696B"/>
        <color rgb="FFFFEB84"/>
        <color rgb="FF63BE7B"/>
      </colorScale>
    </cfRule>
    <cfRule type="colorScale" priority="16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17">
      <colorScale>
        <cfvo type="num" val="5"/>
        <cfvo type="num" val="5.0999999999999996"/>
        <cfvo type="num" val="7"/>
        <color rgb="FFF8696B"/>
        <color rgb="FFFFEB84"/>
        <color rgb="FF63BE7B"/>
      </colorScale>
    </cfRule>
    <cfRule type="colorScale" priority="19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20">
      <colorScale>
        <cfvo type="num" val="5"/>
        <cfvo type="num" val="5.0999999999999996"/>
        <cfvo type="num" val="7"/>
        <color rgb="FFF8696B"/>
        <color rgb="FFFFEB84"/>
        <color rgb="FF63BE7B"/>
      </colorScale>
    </cfRule>
  </conditionalFormatting>
  <conditionalFormatting sqref="M4:M11">
    <cfRule type="cellIs" dxfId="2" priority="44" operator="greaterThanOrEqual">
      <formula>0.85</formula>
    </cfRule>
    <cfRule type="cellIs" dxfId="1" priority="45" operator="between">
      <formula>0.5</formula>
      <formula>0.84</formula>
    </cfRule>
    <cfRule type="cellIs" dxfId="0" priority="46" operator="lessThan">
      <formula>0.5</formula>
    </cfRule>
  </conditionalFormatting>
  <conditionalFormatting sqref="M11">
    <cfRule type="colorScale" priority="1">
      <colorScale>
        <cfvo type="num" val="4"/>
        <cfvo type="num" val="5"/>
        <cfvo type="num" val="7"/>
        <color rgb="FFF8696B"/>
        <color rgb="FFFFEB84"/>
        <color rgb="FF63BE7B"/>
      </colorScale>
    </cfRule>
    <cfRule type="colorScale" priority="2">
      <colorScale>
        <cfvo type="num" val="4.9000000000000004"/>
        <cfvo type="num" val="6"/>
        <cfvo type="num" val="8"/>
        <color rgb="FFF8696B"/>
        <color rgb="FFFFEB84"/>
        <color rgb="FF63BE7B"/>
      </colorScale>
    </cfRule>
    <cfRule type="colorScale" priority="3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4">
      <colorScale>
        <cfvo type="num" val="5"/>
        <cfvo type="num" val="5.0999999999999996"/>
        <cfvo type="num" val="7"/>
        <color rgb="FFF8696B"/>
        <color rgb="FFFFEB84"/>
        <color rgb="FF63BE7B"/>
      </colorScale>
    </cfRule>
    <cfRule type="colorScale" priority="5">
      <colorScale>
        <cfvo type="num" val="4.9000000000000004"/>
        <cfvo type="num" val="6"/>
        <cfvo type="num" val="8"/>
        <color rgb="FFF8696B"/>
        <color rgb="FFFFEB84"/>
        <color rgb="FF63BE7B"/>
      </colorScale>
    </cfRule>
    <cfRule type="colorScale" priority="6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7">
      <colorScale>
        <cfvo type="num" val="5"/>
        <cfvo type="num" val="5.0999999999999996"/>
        <cfvo type="num" val="7"/>
        <color rgb="FFF8696B"/>
        <color rgb="FFFFEB84"/>
        <color rgb="FF63BE7B"/>
      </colorScale>
    </cfRule>
    <cfRule type="colorScale" priority="8">
      <colorScale>
        <cfvo type="num" val="5"/>
        <cfvo type="num" val="6"/>
        <cfvo type="num" val="8"/>
        <color rgb="FFF8696B"/>
        <color rgb="FFFFEB84"/>
        <color rgb="FF92D050"/>
      </colorScale>
    </cfRule>
    <cfRule type="colorScale" priority="9">
      <colorScale>
        <cfvo type="num" val="5"/>
        <cfvo type="num" val="5.0999999999999996"/>
        <cfvo type="num" val="7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Sales Productivity</vt:lpstr>
      <vt:lpstr>Presales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Sanchez</dc:creator>
  <cp:lastModifiedBy>Luis Alegria</cp:lastModifiedBy>
  <dcterms:created xsi:type="dcterms:W3CDTF">2022-12-27T18:31:28Z</dcterms:created>
  <dcterms:modified xsi:type="dcterms:W3CDTF">2026-05-05T18:14:11Z</dcterms:modified>
</cp:coreProperties>
</file>